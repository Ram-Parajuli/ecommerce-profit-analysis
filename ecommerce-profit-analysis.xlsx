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ata System\Documents\"/>
    </mc:Choice>
  </mc:AlternateContent>
  <xr:revisionPtr revIDLastSave="0" documentId="13_ncr:1_{C259E088-FB69-412E-9ACC-1126612D5B69}" xr6:coauthVersionLast="36" xr6:coauthVersionMax="47" xr10:uidLastSave="{00000000-0000-0000-0000-000000000000}"/>
  <bookViews>
    <workbookView xWindow="0" yWindow="0" windowWidth="20400" windowHeight="7125" activeTab="4" xr2:uid="{22F96C1D-502B-4236-B5A9-C2A5373C1410}"/>
  </bookViews>
  <sheets>
    <sheet name="Raw Data" sheetId="1" r:id="rId1"/>
    <sheet name="Error log" sheetId="2" r:id="rId2"/>
    <sheet name="Clean data" sheetId="3" r:id="rId3"/>
    <sheet name="Sales Anylsis" sheetId="4" r:id="rId4"/>
    <sheet name="Profit anylsis" sheetId="5" r:id="rId5"/>
  </sheets>
  <definedNames>
    <definedName name="_xlnm._FilterDatabase" localSheetId="2" hidden="1">'Clean data'!$A$1:$L$24</definedName>
    <definedName name="_xlnm._FilterDatabase" localSheetId="0" hidden="1">'Raw Data'!$A$1:$K$24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I2" i="5"/>
  <c r="D2" i="5"/>
  <c r="C2" i="5"/>
  <c r="B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1" i="5"/>
  <c r="B26" i="4"/>
  <c r="A18" i="4"/>
  <c r="A19" i="4"/>
  <c r="A20" i="4"/>
  <c r="A21" i="4"/>
  <c r="A22" i="4"/>
  <c r="A23" i="4"/>
  <c r="A17" i="4"/>
  <c r="C14" i="4"/>
  <c r="B14" i="4"/>
  <c r="B4" i="4"/>
  <c r="B3" i="4"/>
  <c r="E17" i="5" l="1"/>
  <c r="G17" i="5" s="1"/>
  <c r="J17" i="5" s="1"/>
  <c r="E13" i="5"/>
  <c r="G13" i="5" s="1"/>
  <c r="J13" i="5" s="1"/>
  <c r="E9" i="5"/>
  <c r="G9" i="5" s="1"/>
  <c r="J9" i="5" s="1"/>
  <c r="E5" i="5"/>
  <c r="G5" i="5" s="1"/>
  <c r="J5" i="5" s="1"/>
  <c r="E21" i="5"/>
  <c r="G21" i="5" s="1"/>
  <c r="J21" i="5" s="1"/>
  <c r="E22" i="5"/>
  <c r="G22" i="5" s="1"/>
  <c r="J22" i="5" s="1"/>
  <c r="E18" i="5"/>
  <c r="G18" i="5" s="1"/>
  <c r="J18" i="5" s="1"/>
  <c r="E14" i="5"/>
  <c r="G14" i="5" s="1"/>
  <c r="J14" i="5" s="1"/>
  <c r="E10" i="5"/>
  <c r="G10" i="5" s="1"/>
  <c r="J10" i="5" s="1"/>
  <c r="E6" i="5"/>
  <c r="G6" i="5" s="1"/>
  <c r="J6" i="5" s="1"/>
  <c r="E2" i="5"/>
  <c r="G2" i="5" s="1"/>
  <c r="J2" i="5" s="1"/>
  <c r="I25" i="5"/>
  <c r="L10" i="5" s="1"/>
  <c r="D25" i="5"/>
  <c r="L5" i="5" s="1"/>
  <c r="C25" i="5"/>
  <c r="L4" i="5" s="1"/>
  <c r="F25" i="5"/>
  <c r="L7" i="5" s="1"/>
  <c r="E24" i="5"/>
  <c r="G24" i="5" s="1"/>
  <c r="J24" i="5" s="1"/>
  <c r="E20" i="5"/>
  <c r="G20" i="5" s="1"/>
  <c r="J20" i="5" s="1"/>
  <c r="E16" i="5"/>
  <c r="G16" i="5" s="1"/>
  <c r="J16" i="5" s="1"/>
  <c r="E12" i="5"/>
  <c r="G12" i="5" s="1"/>
  <c r="J12" i="5" s="1"/>
  <c r="E8" i="5"/>
  <c r="G8" i="5" s="1"/>
  <c r="J8" i="5" s="1"/>
  <c r="E4" i="5"/>
  <c r="G4" i="5" s="1"/>
  <c r="J4" i="5" s="1"/>
  <c r="H25" i="5"/>
  <c r="L9" i="5" s="1"/>
  <c r="E23" i="5"/>
  <c r="G23" i="5" s="1"/>
  <c r="J23" i="5" s="1"/>
  <c r="E19" i="5"/>
  <c r="G19" i="5" s="1"/>
  <c r="J19" i="5" s="1"/>
  <c r="E15" i="5"/>
  <c r="G15" i="5" s="1"/>
  <c r="J15" i="5" s="1"/>
  <c r="E11" i="5"/>
  <c r="G11" i="5" s="1"/>
  <c r="J11" i="5" s="1"/>
  <c r="E7" i="5"/>
  <c r="G7" i="5" s="1"/>
  <c r="J7" i="5" s="1"/>
  <c r="E3" i="5"/>
  <c r="G3" i="5" s="1"/>
  <c r="J3" i="5" s="1"/>
  <c r="B25" i="5"/>
  <c r="L3" i="5" s="1"/>
  <c r="B21" i="4"/>
  <c r="B19" i="4"/>
  <c r="B2" i="4"/>
  <c r="B20" i="4"/>
  <c r="B22" i="4"/>
  <c r="B18" i="4"/>
  <c r="B23" i="4"/>
  <c r="B17" i="4"/>
  <c r="L6" i="5" l="1"/>
  <c r="L8" i="5" s="1"/>
  <c r="L11" i="5" s="1"/>
  <c r="L12" i="5" s="1"/>
  <c r="J25" i="5"/>
  <c r="E25" i="5"/>
  <c r="G25" i="5"/>
  <c r="L13" i="5"/>
  <c r="B24" i="4"/>
  <c r="C21" i="4" s="1"/>
  <c r="C20" i="4" l="1"/>
  <c r="C18" i="4"/>
  <c r="C23" i="4"/>
  <c r="C19" i="4"/>
  <c r="C17" i="4"/>
  <c r="C22" i="4"/>
  <c r="C24" i="4" l="1"/>
</calcChain>
</file>

<file path=xl/sharedStrings.xml><?xml version="1.0" encoding="utf-8"?>
<sst xmlns="http://schemas.openxmlformats.org/spreadsheetml/2006/main" count="353" uniqueCount="167">
  <si>
    <t>Order_ID</t>
  </si>
  <si>
    <t>Product_Category</t>
  </si>
  <si>
    <t>Product_Name</t>
  </si>
  <si>
    <t>Units_Sold</t>
  </si>
  <si>
    <t>Price_Per_Unit</t>
  </si>
  <si>
    <t>Discount_%</t>
  </si>
  <si>
    <t>Shipping_Cost</t>
  </si>
  <si>
    <t>Total_Revenue</t>
  </si>
  <si>
    <t>Order_Date</t>
  </si>
  <si>
    <t>Customer_City</t>
  </si>
  <si>
    <t>Payment_Status</t>
  </si>
  <si>
    <t>ORD001</t>
  </si>
  <si>
    <t>Laptop</t>
  </si>
  <si>
    <t>Dell Inspiron 15</t>
  </si>
  <si>
    <t>Mumbai</t>
  </si>
  <si>
    <t>Paid</t>
  </si>
  <si>
    <t>ORD002</t>
  </si>
  <si>
    <t>Phone</t>
  </si>
  <si>
    <t>iPhone 14</t>
  </si>
  <si>
    <t>Delhi</t>
  </si>
  <si>
    <t>ORD003</t>
  </si>
  <si>
    <t>Tablet</t>
  </si>
  <si>
    <t>iPad Air</t>
  </si>
  <si>
    <t>Bangalore</t>
  </si>
  <si>
    <t>ORD004</t>
  </si>
  <si>
    <t>Headphones</t>
  </si>
  <si>
    <t>Sony WH-1000XM5</t>
  </si>
  <si>
    <t>ORD005</t>
  </si>
  <si>
    <t>MacBook Air M2</t>
  </si>
  <si>
    <t>free</t>
  </si>
  <si>
    <t>Pune</t>
  </si>
  <si>
    <t>ORD006</t>
  </si>
  <si>
    <t>Samsung S23</t>
  </si>
  <si>
    <t>Pending</t>
  </si>
  <si>
    <t>ORD007</t>
  </si>
  <si>
    <t>Smartwatch</t>
  </si>
  <si>
    <t>Apple Watch 9</t>
  </si>
  <si>
    <t>Chennai</t>
  </si>
  <si>
    <t>ORD008</t>
  </si>
  <si>
    <t>Samsung Tab S9</t>
  </si>
  <si>
    <t>Kolkata</t>
  </si>
  <si>
    <t>Cancelled</t>
  </si>
  <si>
    <t>ORD009</t>
  </si>
  <si>
    <t>HP Pavilion</t>
  </si>
  <si>
    <t>ORD010</t>
  </si>
  <si>
    <t>Bose QC45</t>
  </si>
  <si>
    <t>Hyderabad</t>
  </si>
  <si>
    <t>Return</t>
  </si>
  <si>
    <t>ORD011</t>
  </si>
  <si>
    <t>OnePlus 11</t>
  </si>
  <si>
    <t>ORD012</t>
  </si>
  <si>
    <t>Dell XPS 13</t>
  </si>
  <si>
    <t>ORD013</t>
  </si>
  <si>
    <t>Fitbit Versa 4</t>
  </si>
  <si>
    <t>paid</t>
  </si>
  <si>
    <t>ORD014</t>
  </si>
  <si>
    <t>iPad Pro 12.9</t>
  </si>
  <si>
    <t>ORD015</t>
  </si>
  <si>
    <t>Xiaomi 13 Pro</t>
  </si>
  <si>
    <t>ORD016</t>
  </si>
  <si>
    <t>ASUS ROG</t>
  </si>
  <si>
    <t>ORD017</t>
  </si>
  <si>
    <t>JBL Tune 510</t>
  </si>
  <si>
    <t>ORD018</t>
  </si>
  <si>
    <t>iPhone 15 Pro</t>
  </si>
  <si>
    <t>ORD019</t>
  </si>
  <si>
    <t>Lenovo ThinkPad</t>
  </si>
  <si>
    <t>ORD020</t>
  </si>
  <si>
    <t>Garmin Fenix 7</t>
  </si>
  <si>
    <t>ORD021</t>
  </si>
  <si>
    <t>Lenovo Tab P11</t>
  </si>
  <si>
    <t>ORD022</t>
  </si>
  <si>
    <t>Google Pixel 8</t>
  </si>
  <si>
    <t>ORD023</t>
  </si>
  <si>
    <t>Acer Aspire 5</t>
  </si>
  <si>
    <t>Note</t>
  </si>
  <si>
    <t>Order_Id</t>
  </si>
  <si>
    <t>Error#</t>
  </si>
  <si>
    <t>RowField</t>
  </si>
  <si>
    <t>Original</t>
  </si>
  <si>
    <t>Problem</t>
  </si>
  <si>
    <t>Correction</t>
  </si>
  <si>
    <t>Reason</t>
  </si>
  <si>
    <t>Confidence</t>
  </si>
  <si>
    <t>Blank Shipping cost</t>
  </si>
  <si>
    <t>Unit sold is 0 but shipping cost occurs and cancelled order</t>
  </si>
  <si>
    <t xml:space="preserve">Negative Unitsold &amp; negative unitsold and Return order </t>
  </si>
  <si>
    <t>All Row of First Three column</t>
  </si>
  <si>
    <t>Not Direct problem but Name are incocsistent</t>
  </si>
  <si>
    <t>Use Proper(trim) function</t>
  </si>
  <si>
    <t>Name must be always Capital</t>
  </si>
  <si>
    <t>Zero unit sold and 0 revenue</t>
  </si>
  <si>
    <t>In sales data transrlation is 0</t>
  </si>
  <si>
    <t>change to 0</t>
  </si>
  <si>
    <t xml:space="preserve">In status there is written is cancelled so canclelled means not anythings happened so all things must be 0 </t>
  </si>
  <si>
    <t>Shipping cost is 250</t>
  </si>
  <si>
    <t>status is cancelled</t>
  </si>
  <si>
    <t>shipping cost must be 0</t>
  </si>
  <si>
    <t>with out any transcation shipping cost can not be orrurred</t>
  </si>
  <si>
    <t xml:space="preserve">shipping cost is free mabye it is 0 like other </t>
  </si>
  <si>
    <t>Negative quantity and Revenue</t>
  </si>
  <si>
    <t>Negative amont</t>
  </si>
  <si>
    <t>Leave it as a negative</t>
  </si>
  <si>
    <t>In status this roder is returned and return reduce Revenue</t>
  </si>
  <si>
    <t>shipping cost is Free</t>
  </si>
  <si>
    <t>Shipping cost is amont column and it says free( a text) is effect to data</t>
  </si>
  <si>
    <t>chagne free to 0</t>
  </si>
  <si>
    <t>amount column always must be in number value</t>
  </si>
  <si>
    <t>Shipping cost is blank</t>
  </si>
  <si>
    <t>No any text or amount to what actually it is</t>
  </si>
  <si>
    <t>take it as a 0</t>
  </si>
  <si>
    <t>Shipping cost is blank and I did not assume by other relative pattern because it is blank and I consider it as a Free or 0</t>
  </si>
  <si>
    <t>All row of Customercity</t>
  </si>
  <si>
    <t>text column</t>
  </si>
  <si>
    <t>mabye somewhere text written mistake</t>
  </si>
  <si>
    <t>For text column correction</t>
  </si>
  <si>
    <t>All row of Payment status</t>
  </si>
  <si>
    <t>Text incosistence</t>
  </si>
  <si>
    <t>for data correctness</t>
  </si>
  <si>
    <t>Discount is greater then 20% it effect to busines</t>
  </si>
  <si>
    <t>Discount is greater then 35% it effect to busines</t>
  </si>
  <si>
    <t>shipping cost is Return or not because sometimes if goods are return due to business then everythings return even shippipng cost or delivary cost. (Please verify)</t>
  </si>
  <si>
    <t>change shipping cost to zero amount.</t>
  </si>
  <si>
    <t>Total Revenue</t>
  </si>
  <si>
    <t>Total Shipping Cost</t>
  </si>
  <si>
    <t>Total Quantity sold</t>
  </si>
  <si>
    <t>Amount</t>
  </si>
  <si>
    <t>Category Details</t>
  </si>
  <si>
    <t>Revenue</t>
  </si>
  <si>
    <t>Total</t>
  </si>
  <si>
    <t>% of Revenue</t>
  </si>
  <si>
    <t>City Details</t>
  </si>
  <si>
    <t xml:space="preserve"> </t>
  </si>
  <si>
    <t>Discount Average</t>
  </si>
  <si>
    <t>Total Sales</t>
  </si>
  <si>
    <t>Total Discount</t>
  </si>
  <si>
    <t>Total Return</t>
  </si>
  <si>
    <t>Net Sales</t>
  </si>
  <si>
    <t>Gross Profit</t>
  </si>
  <si>
    <t>Iphone 14</t>
  </si>
  <si>
    <t>Ipad Air</t>
  </si>
  <si>
    <t>Sony Wh-1000Xm5</t>
  </si>
  <si>
    <t>Macbook Air M2</t>
  </si>
  <si>
    <t>Hp Pavilion</t>
  </si>
  <si>
    <t>Bose Qc45</t>
  </si>
  <si>
    <t>Oneplus 11</t>
  </si>
  <si>
    <t>Dell Xps 13</t>
  </si>
  <si>
    <t>Ipad Pro 12.9</t>
  </si>
  <si>
    <t>Asus Rog</t>
  </si>
  <si>
    <t>Jbl Tune 510</t>
  </si>
  <si>
    <t>Iphone 15 Pro</t>
  </si>
  <si>
    <t>Lenovo Thinkpad</t>
  </si>
  <si>
    <t>Other income</t>
  </si>
  <si>
    <t>Net Profit</t>
  </si>
  <si>
    <t>Other Expenses(payment getway fee)</t>
  </si>
  <si>
    <t>Actual Sales</t>
  </si>
  <si>
    <t>Actual Discount</t>
  </si>
  <si>
    <t>Actual Return</t>
  </si>
  <si>
    <t>Net sales</t>
  </si>
  <si>
    <t>Cogs(Cost produtct)</t>
  </si>
  <si>
    <t>Other Expenses(Payment getway fee)</t>
  </si>
  <si>
    <t>Other Income(shipping cost)</t>
  </si>
  <si>
    <t>Net Profit margin</t>
  </si>
  <si>
    <t>Gross profit margin</t>
  </si>
  <si>
    <t>Cogs(Cost Product)</t>
  </si>
  <si>
    <t>Use Proper(trim) function for correction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</si>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</sst>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5" fontId="0" fillId="0" borderId="0" xfId="0" applyNumberFormat="1" applyAlignment="1">
      <alignment vertical="center"/>
    </xf>
    <xf numFmtId="0" fontId="1" fillId="0" borderId="0" xfId="0" applyFont="1"/>
    <xf numFmtId="15" fontId="0" fillId="0" borderId="0" xfId="0" applyNumberFormat="1"/>
    <xf numFmtId="0" fontId="2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EB10-DCB1-4711-8EBD-294AA152FE96}">
  <sheetPr codeName="Sheet1"/>
  <dimension ref="A1:L24"/>
  <sheetViews>
    <sheetView topLeftCell="A7" workbookViewId="0">
      <selection activeCell="E2" sqref="E2:E19"/>
    </sheetView>
  </sheetViews>
  <sheetFormatPr defaultRowHeight="15" x14ac:dyDescent="0.25"/>
  <cols>
    <col min="1" max="1" width="9.28515625" customWidth="1"/>
    <col min="2" max="2" width="16.28515625" bestFit="1" customWidth="1"/>
    <col min="3" max="3" width="19.28515625" customWidth="1"/>
    <col min="4" max="4" width="14.42578125" bestFit="1" customWidth="1"/>
    <col min="5" max="5" width="19.5703125" customWidth="1"/>
    <col min="6" max="6" width="10.7109375" bestFit="1" customWidth="1"/>
    <col min="7" max="7" width="13.140625" bestFit="1" customWidth="1"/>
    <col min="8" max="8" width="18.140625" bestFit="1" customWidth="1"/>
    <col min="9" max="9" width="15.140625" bestFit="1" customWidth="1"/>
    <col min="10" max="10" width="17.85546875" bestFit="1" customWidth="1"/>
    <col min="11" max="11" width="19.28515625" bestFit="1" customWidth="1"/>
    <col min="12" max="12" width="8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75</v>
      </c>
    </row>
    <row r="2" spans="1:12" x14ac:dyDescent="0.25">
      <c r="A2" s="2" t="s">
        <v>11</v>
      </c>
      <c r="B2" s="2" t="s">
        <v>12</v>
      </c>
      <c r="C2" s="2" t="s">
        <v>13</v>
      </c>
      <c r="D2" s="2">
        <v>1</v>
      </c>
      <c r="E2" s="2">
        <v>55000</v>
      </c>
      <c r="F2" s="3">
        <v>0.1</v>
      </c>
      <c r="G2" s="2">
        <v>500</v>
      </c>
      <c r="H2" s="2">
        <v>49500</v>
      </c>
      <c r="I2" s="4">
        <v>46027</v>
      </c>
      <c r="J2" s="2" t="s">
        <v>14</v>
      </c>
      <c r="K2" s="2" t="s">
        <v>15</v>
      </c>
    </row>
    <row r="3" spans="1:12" x14ac:dyDescent="0.25">
      <c r="A3" s="2" t="s">
        <v>16</v>
      </c>
      <c r="B3" s="2" t="s">
        <v>17</v>
      </c>
      <c r="C3" s="2" t="s">
        <v>18</v>
      </c>
      <c r="D3" s="2">
        <v>2</v>
      </c>
      <c r="E3" s="2">
        <v>79000</v>
      </c>
      <c r="F3" s="3">
        <v>0.05</v>
      </c>
      <c r="G3" s="2">
        <v>0</v>
      </c>
      <c r="H3" s="2">
        <v>150100</v>
      </c>
      <c r="I3" s="4">
        <v>46030</v>
      </c>
      <c r="J3" s="2" t="s">
        <v>19</v>
      </c>
      <c r="K3" s="2" t="s">
        <v>15</v>
      </c>
    </row>
    <row r="4" spans="1:12" x14ac:dyDescent="0.25">
      <c r="A4" s="2" t="s">
        <v>20</v>
      </c>
      <c r="B4" s="2" t="s">
        <v>21</v>
      </c>
      <c r="C4" s="2" t="s">
        <v>22</v>
      </c>
      <c r="D4">
        <v>1</v>
      </c>
      <c r="E4">
        <v>60000</v>
      </c>
      <c r="F4">
        <v>0.15</v>
      </c>
      <c r="G4">
        <v>300</v>
      </c>
      <c r="H4">
        <v>51300</v>
      </c>
      <c r="I4" s="4">
        <v>46034</v>
      </c>
      <c r="J4" s="2" t="s">
        <v>23</v>
      </c>
      <c r="K4" s="2" t="s">
        <v>15</v>
      </c>
    </row>
    <row r="5" spans="1:12" x14ac:dyDescent="0.25">
      <c r="A5" s="2" t="s">
        <v>24</v>
      </c>
      <c r="B5" s="2" t="s">
        <v>25</v>
      </c>
      <c r="C5" s="2" t="s">
        <v>26</v>
      </c>
      <c r="D5">
        <v>3</v>
      </c>
      <c r="E5">
        <v>29000</v>
      </c>
      <c r="F5">
        <v>0.2</v>
      </c>
      <c r="G5">
        <v>200</v>
      </c>
      <c r="H5">
        <v>69800</v>
      </c>
      <c r="I5" s="4">
        <v>46037</v>
      </c>
      <c r="J5" s="2" t="s">
        <v>14</v>
      </c>
      <c r="K5" s="2" t="s">
        <v>15</v>
      </c>
    </row>
    <row r="6" spans="1:12" x14ac:dyDescent="0.25">
      <c r="A6" s="2" t="s">
        <v>27</v>
      </c>
      <c r="B6" s="2" t="s">
        <v>12</v>
      </c>
      <c r="C6" s="2" t="s">
        <v>28</v>
      </c>
      <c r="D6">
        <v>1</v>
      </c>
      <c r="E6">
        <v>115000</v>
      </c>
      <c r="F6">
        <v>0.05</v>
      </c>
      <c r="G6" t="s">
        <v>29</v>
      </c>
      <c r="H6">
        <v>109250</v>
      </c>
      <c r="I6" s="4">
        <v>46040</v>
      </c>
      <c r="J6" s="2" t="s">
        <v>30</v>
      </c>
      <c r="K6" s="2" t="s">
        <v>15</v>
      </c>
      <c r="L6" t="s">
        <v>99</v>
      </c>
    </row>
    <row r="7" spans="1:12" x14ac:dyDescent="0.25">
      <c r="A7" s="2" t="s">
        <v>31</v>
      </c>
      <c r="B7" s="2" t="s">
        <v>17</v>
      </c>
      <c r="C7" s="2" t="s">
        <v>32</v>
      </c>
      <c r="D7">
        <v>2</v>
      </c>
      <c r="E7">
        <v>65000</v>
      </c>
      <c r="F7">
        <v>0.25</v>
      </c>
      <c r="G7">
        <v>400</v>
      </c>
      <c r="H7">
        <v>97900</v>
      </c>
      <c r="I7" s="4">
        <v>46044</v>
      </c>
      <c r="J7" s="2" t="s">
        <v>19</v>
      </c>
      <c r="K7" s="2" t="s">
        <v>33</v>
      </c>
    </row>
    <row r="8" spans="1:12" x14ac:dyDescent="0.25">
      <c r="A8" s="2" t="s">
        <v>34</v>
      </c>
      <c r="B8" s="2" t="s">
        <v>35</v>
      </c>
      <c r="C8" s="2" t="s">
        <v>36</v>
      </c>
      <c r="D8">
        <v>5</v>
      </c>
      <c r="E8">
        <v>45000</v>
      </c>
      <c r="F8">
        <v>0.3</v>
      </c>
      <c r="G8">
        <v>0</v>
      </c>
      <c r="H8">
        <v>157500</v>
      </c>
      <c r="I8" s="4">
        <v>46047</v>
      </c>
      <c r="J8" s="2" t="s">
        <v>37</v>
      </c>
      <c r="K8" s="2" t="s">
        <v>15</v>
      </c>
    </row>
    <row r="9" spans="1:12" x14ac:dyDescent="0.25">
      <c r="A9" s="2" t="s">
        <v>38</v>
      </c>
      <c r="B9" s="2" t="s">
        <v>21</v>
      </c>
      <c r="C9" s="2" t="s">
        <v>39</v>
      </c>
      <c r="D9">
        <v>0</v>
      </c>
      <c r="E9">
        <v>48000</v>
      </c>
      <c r="F9">
        <v>0.1</v>
      </c>
      <c r="G9">
        <v>250</v>
      </c>
      <c r="H9">
        <v>0</v>
      </c>
      <c r="I9" s="4">
        <v>46050</v>
      </c>
      <c r="J9" s="2" t="s">
        <v>40</v>
      </c>
      <c r="K9" s="2" t="s">
        <v>41</v>
      </c>
      <c r="L9" t="s">
        <v>85</v>
      </c>
    </row>
    <row r="10" spans="1:12" x14ac:dyDescent="0.25">
      <c r="A10" s="2" t="s">
        <v>42</v>
      </c>
      <c r="B10" s="2" t="s">
        <v>12</v>
      </c>
      <c r="C10" s="2" t="s">
        <v>43</v>
      </c>
      <c r="D10">
        <v>1</v>
      </c>
      <c r="E10">
        <v>52000</v>
      </c>
      <c r="F10">
        <v>0.05</v>
      </c>
      <c r="G10">
        <v>600</v>
      </c>
      <c r="H10">
        <v>49400</v>
      </c>
      <c r="I10" s="4">
        <v>46055</v>
      </c>
      <c r="J10" s="2" t="s">
        <v>14</v>
      </c>
      <c r="K10" s="2" t="s">
        <v>15</v>
      </c>
    </row>
    <row r="11" spans="1:12" x14ac:dyDescent="0.25">
      <c r="A11" s="2" t="s">
        <v>44</v>
      </c>
      <c r="B11" s="2" t="s">
        <v>25</v>
      </c>
      <c r="C11" s="2" t="s">
        <v>45</v>
      </c>
      <c r="D11">
        <v>-1</v>
      </c>
      <c r="E11">
        <v>28000</v>
      </c>
      <c r="F11">
        <v>0</v>
      </c>
      <c r="G11">
        <v>150</v>
      </c>
      <c r="H11">
        <v>-28000</v>
      </c>
      <c r="I11" s="4">
        <v>46058</v>
      </c>
      <c r="J11" s="2" t="s">
        <v>46</v>
      </c>
      <c r="K11" s="2" t="s">
        <v>47</v>
      </c>
      <c r="L11" t="s">
        <v>86</v>
      </c>
    </row>
    <row r="12" spans="1:12" x14ac:dyDescent="0.25">
      <c r="A12" s="2" t="s">
        <v>48</v>
      </c>
      <c r="B12" s="2" t="s">
        <v>17</v>
      </c>
      <c r="C12" s="2" t="s">
        <v>49</v>
      </c>
      <c r="D12">
        <v>2</v>
      </c>
      <c r="E12">
        <v>56000</v>
      </c>
      <c r="F12">
        <v>0.15</v>
      </c>
      <c r="G12">
        <v>0</v>
      </c>
      <c r="H12">
        <v>95200</v>
      </c>
      <c r="I12" s="4">
        <v>46061</v>
      </c>
      <c r="J12" s="2" t="s">
        <v>23</v>
      </c>
      <c r="K12" s="2" t="s">
        <v>15</v>
      </c>
    </row>
    <row r="13" spans="1:12" x14ac:dyDescent="0.25">
      <c r="A13" s="2" t="s">
        <v>50</v>
      </c>
      <c r="B13" s="2" t="s">
        <v>12</v>
      </c>
      <c r="C13" s="2" t="s">
        <v>51</v>
      </c>
      <c r="D13">
        <v>1</v>
      </c>
      <c r="E13">
        <v>125000</v>
      </c>
      <c r="F13">
        <v>0.1</v>
      </c>
      <c r="G13">
        <v>500</v>
      </c>
      <c r="H13">
        <v>112500</v>
      </c>
      <c r="I13" s="4">
        <v>46065</v>
      </c>
      <c r="J13" s="2" t="s">
        <v>14</v>
      </c>
      <c r="K13" s="2" t="s">
        <v>15</v>
      </c>
    </row>
    <row r="14" spans="1:12" x14ac:dyDescent="0.25">
      <c r="A14" s="2" t="s">
        <v>52</v>
      </c>
      <c r="B14" s="2" t="s">
        <v>35</v>
      </c>
      <c r="C14" s="2" t="s">
        <v>53</v>
      </c>
      <c r="D14">
        <v>3</v>
      </c>
      <c r="E14">
        <v>22000</v>
      </c>
      <c r="F14">
        <v>0.05</v>
      </c>
      <c r="G14">
        <v>200</v>
      </c>
      <c r="H14">
        <v>62900</v>
      </c>
      <c r="I14" s="4">
        <v>46068</v>
      </c>
      <c r="J14" s="2" t="s">
        <v>37</v>
      </c>
      <c r="K14" s="2" t="s">
        <v>54</v>
      </c>
    </row>
    <row r="15" spans="1:12" x14ac:dyDescent="0.25">
      <c r="A15" s="2" t="s">
        <v>55</v>
      </c>
      <c r="B15" s="2" t="s">
        <v>21</v>
      </c>
      <c r="C15" s="2" t="s">
        <v>56</v>
      </c>
      <c r="D15">
        <v>1</v>
      </c>
      <c r="E15">
        <v>110000</v>
      </c>
      <c r="F15">
        <v>0.08</v>
      </c>
      <c r="G15" s="7"/>
      <c r="H15">
        <v>101200</v>
      </c>
      <c r="I15" s="4">
        <v>46071</v>
      </c>
      <c r="J15" s="2" t="s">
        <v>19</v>
      </c>
      <c r="K15" s="2" t="s">
        <v>15</v>
      </c>
      <c r="L15" t="s">
        <v>84</v>
      </c>
    </row>
    <row r="16" spans="1:12" x14ac:dyDescent="0.25">
      <c r="A16" s="2" t="s">
        <v>57</v>
      </c>
      <c r="B16" s="2" t="s">
        <v>17</v>
      </c>
      <c r="C16" s="2" t="s">
        <v>58</v>
      </c>
      <c r="D16">
        <v>4</v>
      </c>
      <c r="E16">
        <v>59000</v>
      </c>
      <c r="F16">
        <v>0.4</v>
      </c>
      <c r="G16">
        <v>0</v>
      </c>
      <c r="H16">
        <v>141600</v>
      </c>
      <c r="I16" s="4">
        <v>46075</v>
      </c>
      <c r="J16" s="2" t="s">
        <v>30</v>
      </c>
      <c r="K16" s="2" t="s">
        <v>15</v>
      </c>
    </row>
    <row r="17" spans="1:11" x14ac:dyDescent="0.25">
      <c r="A17" s="2" t="s">
        <v>59</v>
      </c>
      <c r="B17" s="2" t="s">
        <v>12</v>
      </c>
      <c r="C17" s="2" t="s">
        <v>60</v>
      </c>
      <c r="D17">
        <v>1</v>
      </c>
      <c r="E17">
        <v>135000</v>
      </c>
      <c r="F17">
        <v>0.12</v>
      </c>
      <c r="G17">
        <v>700</v>
      </c>
      <c r="H17">
        <v>118800</v>
      </c>
      <c r="I17" s="4">
        <v>46078</v>
      </c>
      <c r="J17" s="2" t="s">
        <v>40</v>
      </c>
      <c r="K17" s="2" t="s">
        <v>15</v>
      </c>
    </row>
    <row r="18" spans="1:11" x14ac:dyDescent="0.25">
      <c r="A18" s="2" t="s">
        <v>61</v>
      </c>
      <c r="B18" s="2" t="s">
        <v>25</v>
      </c>
      <c r="C18" s="2" t="s">
        <v>62</v>
      </c>
      <c r="D18">
        <v>10</v>
      </c>
      <c r="E18">
        <v>3500</v>
      </c>
      <c r="F18">
        <v>0</v>
      </c>
      <c r="G18">
        <v>100</v>
      </c>
      <c r="H18">
        <v>35100</v>
      </c>
      <c r="I18" s="4">
        <v>46081</v>
      </c>
      <c r="J18" s="2" t="s">
        <v>14</v>
      </c>
      <c r="K18" s="2" t="s">
        <v>15</v>
      </c>
    </row>
    <row r="19" spans="1:11" x14ac:dyDescent="0.25">
      <c r="A19" s="2" t="s">
        <v>63</v>
      </c>
      <c r="B19" s="2" t="s">
        <v>17</v>
      </c>
      <c r="C19" s="2" t="s">
        <v>64</v>
      </c>
      <c r="D19">
        <v>1</v>
      </c>
      <c r="E19">
        <v>145000</v>
      </c>
      <c r="F19">
        <v>0.03</v>
      </c>
      <c r="G19">
        <v>0</v>
      </c>
      <c r="H19">
        <v>140650</v>
      </c>
      <c r="I19" s="4">
        <v>46086</v>
      </c>
      <c r="J19" s="2" t="s">
        <v>23</v>
      </c>
      <c r="K19" s="2" t="s">
        <v>15</v>
      </c>
    </row>
    <row r="20" spans="1:11" x14ac:dyDescent="0.25">
      <c r="A20" s="2" t="s">
        <v>65</v>
      </c>
      <c r="B20" s="2" t="s">
        <v>12</v>
      </c>
      <c r="C20" s="2" t="s">
        <v>66</v>
      </c>
      <c r="D20">
        <v>2</v>
      </c>
      <c r="E20">
        <v>85000</v>
      </c>
      <c r="F20">
        <v>0.08</v>
      </c>
      <c r="G20">
        <v>500</v>
      </c>
      <c r="H20">
        <v>156400</v>
      </c>
      <c r="I20" s="4">
        <v>46091</v>
      </c>
      <c r="J20" s="2" t="s">
        <v>19</v>
      </c>
      <c r="K20" s="2" t="s">
        <v>15</v>
      </c>
    </row>
    <row r="21" spans="1:11" x14ac:dyDescent="0.25">
      <c r="A21" s="2" t="s">
        <v>67</v>
      </c>
      <c r="B21" s="2" t="s">
        <v>35</v>
      </c>
      <c r="C21" s="2" t="s">
        <v>68</v>
      </c>
      <c r="D21">
        <v>2</v>
      </c>
      <c r="E21">
        <v>75000</v>
      </c>
      <c r="F21">
        <v>0.15</v>
      </c>
      <c r="G21">
        <v>300</v>
      </c>
      <c r="H21">
        <v>127800</v>
      </c>
      <c r="I21" s="4">
        <v>46096</v>
      </c>
      <c r="J21" s="2" t="s">
        <v>37</v>
      </c>
      <c r="K21" s="2" t="s">
        <v>33</v>
      </c>
    </row>
    <row r="22" spans="1:11" x14ac:dyDescent="0.25">
      <c r="A22" s="2" t="s">
        <v>69</v>
      </c>
      <c r="B22" s="2" t="s">
        <v>21</v>
      </c>
      <c r="C22" s="2" t="s">
        <v>70</v>
      </c>
      <c r="D22">
        <v>3</v>
      </c>
      <c r="E22">
        <v>28000</v>
      </c>
      <c r="F22">
        <v>0.1</v>
      </c>
      <c r="G22">
        <v>0</v>
      </c>
      <c r="H22">
        <v>75600</v>
      </c>
      <c r="I22" s="4">
        <v>46101</v>
      </c>
      <c r="J22" s="2" t="s">
        <v>14</v>
      </c>
      <c r="K22" s="2" t="s">
        <v>15</v>
      </c>
    </row>
    <row r="23" spans="1:11" x14ac:dyDescent="0.25">
      <c r="A23" s="2" t="s">
        <v>71</v>
      </c>
      <c r="B23" s="2" t="s">
        <v>17</v>
      </c>
      <c r="C23" s="2" t="s">
        <v>72</v>
      </c>
      <c r="D23">
        <v>1</v>
      </c>
      <c r="E23">
        <v>72000</v>
      </c>
      <c r="F23">
        <v>0.05</v>
      </c>
      <c r="G23">
        <v>200</v>
      </c>
      <c r="H23">
        <v>68600</v>
      </c>
      <c r="I23" s="4">
        <v>46106</v>
      </c>
      <c r="J23" s="2" t="s">
        <v>46</v>
      </c>
      <c r="K23" s="2" t="s">
        <v>15</v>
      </c>
    </row>
    <row r="24" spans="1:11" x14ac:dyDescent="0.25">
      <c r="A24" s="2" t="s">
        <v>73</v>
      </c>
      <c r="B24" s="2" t="s">
        <v>12</v>
      </c>
      <c r="C24" s="2" t="s">
        <v>74</v>
      </c>
      <c r="D24">
        <v>1</v>
      </c>
      <c r="E24">
        <v>45000</v>
      </c>
      <c r="F24">
        <v>0</v>
      </c>
      <c r="G24">
        <v>400</v>
      </c>
      <c r="H24">
        <v>45400</v>
      </c>
      <c r="I24" s="4">
        <v>46109</v>
      </c>
      <c r="J24" s="2" t="s">
        <v>30</v>
      </c>
      <c r="K24" s="2" t="s">
        <v>15</v>
      </c>
    </row>
  </sheetData>
  <conditionalFormatting sqref="D2:E24">
    <cfRule type="cellIs" dxfId="6" priority="5" operator="lessThanOrEqual">
      <formula>0</formula>
    </cfRule>
  </conditionalFormatting>
  <conditionalFormatting sqref="E2:E24">
    <cfRule type="cellIs" dxfId="5" priority="4" operator="between">
      <formula>500</formula>
      <formula>2000</formula>
    </cfRule>
  </conditionalFormatting>
  <conditionalFormatting sqref="F2:F3">
    <cfRule type="cellIs" dxfId="4" priority="7" operator="greaterThan">
      <formula>0.25</formula>
    </cfRule>
  </conditionalFormatting>
  <conditionalFormatting sqref="F2:F24">
    <cfRule type="cellIs" dxfId="3" priority="2" operator="greaterThanOrEqual">
      <formula>0.25</formula>
    </cfRule>
    <cfRule type="cellIs" dxfId="2" priority="3" operator="lessThan">
      <formula>0</formula>
    </cfRule>
  </conditionalFormatting>
  <conditionalFormatting sqref="H2:H24">
    <cfRule type="cellIs" dxfId="1" priority="1" operator="less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2F4B-6CB3-43BF-9BFB-1F1C4831A426}">
  <sheetPr codeName="Sheet2"/>
  <dimension ref="A1:L11"/>
  <sheetViews>
    <sheetView workbookViewId="0">
      <selection activeCell="E2" sqref="A2:E9"/>
    </sheetView>
  </sheetViews>
  <sheetFormatPr defaultRowHeight="15" x14ac:dyDescent="0.25"/>
  <cols>
    <col min="2" max="2" width="32.28515625" customWidth="1"/>
    <col min="3" max="3" width="22.7109375" customWidth="1"/>
    <col min="5" max="5" width="23.7109375" customWidth="1"/>
    <col min="6" max="6" width="106.7109375" bestFit="1" customWidth="1"/>
    <col min="7" max="7" width="23.42578125" bestFit="1" customWidth="1"/>
  </cols>
  <sheetData>
    <row r="1" spans="1:12" x14ac:dyDescent="0.25">
      <c r="A1" s="5" t="s">
        <v>77</v>
      </c>
      <c r="B1" s="5" t="s">
        <v>78</v>
      </c>
      <c r="C1" s="5" t="s">
        <v>79</v>
      </c>
      <c r="D1" s="5" t="s">
        <v>80</v>
      </c>
      <c r="E1" s="5" t="s">
        <v>81</v>
      </c>
      <c r="F1" s="5" t="s">
        <v>82</v>
      </c>
      <c r="G1" s="5" t="s">
        <v>83</v>
      </c>
      <c r="L1" t="s">
        <v>75</v>
      </c>
    </row>
    <row r="2" spans="1:12" x14ac:dyDescent="0.25">
      <c r="A2">
        <v>1</v>
      </c>
      <c r="B2" t="s">
        <v>87</v>
      </c>
      <c r="D2" t="s">
        <v>88</v>
      </c>
      <c r="E2" t="s">
        <v>165</v>
      </c>
      <c r="F2" t="s">
        <v>90</v>
      </c>
      <c r="G2">
        <v>10</v>
      </c>
    </row>
    <row r="3" spans="1:12" x14ac:dyDescent="0.25">
      <c r="A3">
        <v>2</v>
      </c>
      <c r="B3" s="2" t="s">
        <v>38</v>
      </c>
      <c r="C3" t="s">
        <v>91</v>
      </c>
      <c r="D3" t="s">
        <v>92</v>
      </c>
      <c r="E3" t="s">
        <v>93</v>
      </c>
      <c r="F3" t="s">
        <v>94</v>
      </c>
      <c r="G3">
        <v>10</v>
      </c>
    </row>
    <row r="4" spans="1:12" x14ac:dyDescent="0.25">
      <c r="A4">
        <v>3</v>
      </c>
      <c r="B4" s="2" t="s">
        <v>38</v>
      </c>
      <c r="C4" t="s">
        <v>95</v>
      </c>
      <c r="D4" t="s">
        <v>96</v>
      </c>
      <c r="E4" t="s">
        <v>97</v>
      </c>
      <c r="F4" t="s">
        <v>98</v>
      </c>
      <c r="G4">
        <v>10</v>
      </c>
    </row>
    <row r="5" spans="1:12" x14ac:dyDescent="0.25">
      <c r="A5">
        <v>4</v>
      </c>
      <c r="B5" s="2" t="s">
        <v>44</v>
      </c>
      <c r="C5" t="s">
        <v>100</v>
      </c>
      <c r="D5" t="s">
        <v>101</v>
      </c>
      <c r="E5" t="s">
        <v>102</v>
      </c>
      <c r="F5" t="s">
        <v>103</v>
      </c>
      <c r="G5">
        <v>10</v>
      </c>
    </row>
    <row r="6" spans="1:12" x14ac:dyDescent="0.25">
      <c r="A6">
        <v>5</v>
      </c>
      <c r="B6" s="2" t="s">
        <v>27</v>
      </c>
      <c r="C6" t="s">
        <v>104</v>
      </c>
      <c r="D6" t="s">
        <v>105</v>
      </c>
      <c r="E6" t="s">
        <v>106</v>
      </c>
      <c r="F6" t="s">
        <v>107</v>
      </c>
      <c r="G6">
        <v>10</v>
      </c>
    </row>
    <row r="7" spans="1:12" x14ac:dyDescent="0.25">
      <c r="A7">
        <v>6</v>
      </c>
      <c r="B7" s="2" t="s">
        <v>55</v>
      </c>
      <c r="C7" t="s">
        <v>108</v>
      </c>
      <c r="D7" t="s">
        <v>109</v>
      </c>
      <c r="E7" t="s">
        <v>110</v>
      </c>
      <c r="F7" s="11" t="s">
        <v>111</v>
      </c>
      <c r="G7">
        <v>7</v>
      </c>
    </row>
    <row r="8" spans="1:12" x14ac:dyDescent="0.25">
      <c r="A8">
        <v>7</v>
      </c>
      <c r="B8" s="2" t="s">
        <v>112</v>
      </c>
      <c r="C8" t="s">
        <v>113</v>
      </c>
      <c r="D8" t="s">
        <v>114</v>
      </c>
      <c r="E8" t="s">
        <v>89</v>
      </c>
      <c r="F8" t="s">
        <v>115</v>
      </c>
      <c r="G8">
        <v>10</v>
      </c>
    </row>
    <row r="9" spans="1:12" x14ac:dyDescent="0.25">
      <c r="A9">
        <v>8</v>
      </c>
      <c r="B9" s="2" t="s">
        <v>116</v>
      </c>
      <c r="C9" t="s">
        <v>113</v>
      </c>
      <c r="D9" t="s">
        <v>117</v>
      </c>
      <c r="E9" t="s">
        <v>89</v>
      </c>
      <c r="F9" t="s">
        <v>118</v>
      </c>
      <c r="G9">
        <v>8</v>
      </c>
    </row>
    <row r="11" spans="1:12" x14ac:dyDescent="0.25">
      <c r="F1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485C-BAA4-4CFB-9026-6A3736FD7AF5}">
  <dimension ref="A1:L24"/>
  <sheetViews>
    <sheetView workbookViewId="0">
      <selection activeCell="K2" sqref="K2"/>
    </sheetView>
  </sheetViews>
  <sheetFormatPr defaultRowHeight="15" x14ac:dyDescent="0.25"/>
  <cols>
    <col min="2" max="2" width="18.85546875" customWidth="1"/>
    <col min="3" max="3" width="16.42578125" bestFit="1" customWidth="1"/>
    <col min="5" max="5" width="13.28515625" customWidth="1"/>
    <col min="6" max="6" width="13.7109375" customWidth="1"/>
    <col min="7" max="7" width="15.7109375" customWidth="1"/>
    <col min="8" max="8" width="17.42578125" customWidth="1"/>
    <col min="9" max="10" width="17.5703125" customWidth="1"/>
    <col min="11" max="11" width="21.28515625" customWidth="1"/>
  </cols>
  <sheetData>
    <row r="1" spans="1:12" x14ac:dyDescent="0.25">
      <c r="A1" s="5" t="s">
        <v>76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t="s">
        <v>75</v>
      </c>
    </row>
    <row r="2" spans="1:12" x14ac:dyDescent="0.25">
      <c r="A2" t="s">
        <v>11</v>
      </c>
      <c r="B2" t="s">
        <v>12</v>
      </c>
      <c r="C2" t="s">
        <v>13</v>
      </c>
      <c r="D2">
        <v>1</v>
      </c>
      <c r="E2">
        <v>55000</v>
      </c>
      <c r="F2">
        <v>0.1</v>
      </c>
      <c r="G2">
        <v>500</v>
      </c>
      <c r="H2">
        <v>50000</v>
      </c>
      <c r="I2" s="6">
        <v>46027</v>
      </c>
      <c r="J2" t="s">
        <v>14</v>
      </c>
      <c r="K2" t="s">
        <v>15</v>
      </c>
    </row>
    <row r="3" spans="1:12" x14ac:dyDescent="0.25">
      <c r="A3" t="s">
        <v>16</v>
      </c>
      <c r="B3" t="s">
        <v>17</v>
      </c>
      <c r="C3" t="s">
        <v>139</v>
      </c>
      <c r="D3">
        <v>2</v>
      </c>
      <c r="E3">
        <v>79000</v>
      </c>
      <c r="F3">
        <v>0.05</v>
      </c>
      <c r="G3">
        <v>0</v>
      </c>
      <c r="H3">
        <v>150100</v>
      </c>
      <c r="I3" s="6">
        <v>46030</v>
      </c>
      <c r="J3" t="s">
        <v>19</v>
      </c>
      <c r="K3" t="s">
        <v>15</v>
      </c>
    </row>
    <row r="4" spans="1:12" x14ac:dyDescent="0.25">
      <c r="A4" t="s">
        <v>20</v>
      </c>
      <c r="B4" t="s">
        <v>21</v>
      </c>
      <c r="C4" t="s">
        <v>140</v>
      </c>
      <c r="D4">
        <v>1</v>
      </c>
      <c r="E4">
        <v>60000</v>
      </c>
      <c r="F4">
        <v>0.15</v>
      </c>
      <c r="G4">
        <v>300</v>
      </c>
      <c r="H4">
        <v>51300</v>
      </c>
      <c r="I4" s="6">
        <v>46034</v>
      </c>
      <c r="J4" t="s">
        <v>23</v>
      </c>
      <c r="K4" t="s">
        <v>15</v>
      </c>
    </row>
    <row r="5" spans="1:12" x14ac:dyDescent="0.25">
      <c r="A5" t="s">
        <v>24</v>
      </c>
      <c r="B5" t="s">
        <v>25</v>
      </c>
      <c r="C5" t="s">
        <v>141</v>
      </c>
      <c r="D5">
        <v>3</v>
      </c>
      <c r="E5">
        <v>29000</v>
      </c>
      <c r="F5">
        <v>0.2</v>
      </c>
      <c r="G5">
        <v>200</v>
      </c>
      <c r="H5">
        <v>69800</v>
      </c>
      <c r="I5" s="6">
        <v>46037</v>
      </c>
      <c r="J5" t="s">
        <v>14</v>
      </c>
      <c r="K5" t="s">
        <v>15</v>
      </c>
      <c r="L5" t="s">
        <v>119</v>
      </c>
    </row>
    <row r="6" spans="1:12" x14ac:dyDescent="0.25">
      <c r="A6" t="s">
        <v>27</v>
      </c>
      <c r="B6" t="s">
        <v>12</v>
      </c>
      <c r="C6" t="s">
        <v>142</v>
      </c>
      <c r="D6">
        <v>1</v>
      </c>
      <c r="E6">
        <v>115000</v>
      </c>
      <c r="F6">
        <v>0.05</v>
      </c>
      <c r="G6">
        <v>0</v>
      </c>
      <c r="H6">
        <v>109250</v>
      </c>
      <c r="I6" s="6">
        <v>46040</v>
      </c>
      <c r="J6" t="s">
        <v>30</v>
      </c>
      <c r="K6" t="s">
        <v>15</v>
      </c>
    </row>
    <row r="7" spans="1:12" x14ac:dyDescent="0.25">
      <c r="A7" t="s">
        <v>31</v>
      </c>
      <c r="B7" t="s">
        <v>17</v>
      </c>
      <c r="C7" t="s">
        <v>32</v>
      </c>
      <c r="D7">
        <v>2</v>
      </c>
      <c r="E7">
        <v>65000</v>
      </c>
      <c r="F7">
        <v>0.25</v>
      </c>
      <c r="G7">
        <v>400</v>
      </c>
      <c r="H7">
        <v>97900</v>
      </c>
      <c r="I7" s="6">
        <v>46044</v>
      </c>
      <c r="J7" t="s">
        <v>19</v>
      </c>
      <c r="K7" t="s">
        <v>33</v>
      </c>
      <c r="L7" t="s">
        <v>119</v>
      </c>
    </row>
    <row r="8" spans="1:12" x14ac:dyDescent="0.25">
      <c r="A8" t="s">
        <v>34</v>
      </c>
      <c r="B8" t="s">
        <v>35</v>
      </c>
      <c r="C8" t="s">
        <v>36</v>
      </c>
      <c r="D8">
        <v>5</v>
      </c>
      <c r="E8">
        <v>45000</v>
      </c>
      <c r="F8">
        <v>0.3</v>
      </c>
      <c r="G8">
        <v>0</v>
      </c>
      <c r="H8">
        <v>157500</v>
      </c>
      <c r="I8" s="6">
        <v>46047</v>
      </c>
      <c r="J8" t="s">
        <v>37</v>
      </c>
      <c r="K8" t="s">
        <v>15</v>
      </c>
      <c r="L8" t="s">
        <v>119</v>
      </c>
    </row>
    <row r="9" spans="1:12" x14ac:dyDescent="0.25">
      <c r="A9" t="s">
        <v>38</v>
      </c>
      <c r="B9" t="s">
        <v>21</v>
      </c>
      <c r="C9" t="s">
        <v>39</v>
      </c>
      <c r="D9">
        <v>0</v>
      </c>
      <c r="E9">
        <v>48000</v>
      </c>
      <c r="F9">
        <v>0.1</v>
      </c>
      <c r="G9">
        <v>0</v>
      </c>
      <c r="H9">
        <v>0</v>
      </c>
      <c r="I9" s="6">
        <v>46050</v>
      </c>
      <c r="J9" t="s">
        <v>40</v>
      </c>
      <c r="K9" t="s">
        <v>41</v>
      </c>
      <c r="L9" t="s">
        <v>122</v>
      </c>
    </row>
    <row r="10" spans="1:12" x14ac:dyDescent="0.25">
      <c r="A10" t="s">
        <v>42</v>
      </c>
      <c r="B10" t="s">
        <v>12</v>
      </c>
      <c r="C10" t="s">
        <v>143</v>
      </c>
      <c r="D10">
        <v>1</v>
      </c>
      <c r="E10">
        <v>52000</v>
      </c>
      <c r="F10">
        <v>0.05</v>
      </c>
      <c r="G10">
        <v>600</v>
      </c>
      <c r="H10">
        <v>50000</v>
      </c>
      <c r="I10" s="6">
        <v>46055</v>
      </c>
      <c r="J10" t="s">
        <v>14</v>
      </c>
      <c r="K10" t="s">
        <v>15</v>
      </c>
    </row>
    <row r="11" spans="1:12" x14ac:dyDescent="0.25">
      <c r="A11" t="s">
        <v>44</v>
      </c>
      <c r="B11" t="s">
        <v>25</v>
      </c>
      <c r="C11" t="s">
        <v>144</v>
      </c>
      <c r="D11">
        <v>-1</v>
      </c>
      <c r="E11">
        <v>28000</v>
      </c>
      <c r="F11">
        <v>0</v>
      </c>
      <c r="G11">
        <v>150</v>
      </c>
      <c r="H11">
        <v>-27850</v>
      </c>
      <c r="I11" s="6">
        <v>46058</v>
      </c>
      <c r="J11" t="s">
        <v>46</v>
      </c>
      <c r="K11" t="s">
        <v>47</v>
      </c>
      <c r="L11" t="s">
        <v>121</v>
      </c>
    </row>
    <row r="12" spans="1:12" x14ac:dyDescent="0.25">
      <c r="A12" t="s">
        <v>48</v>
      </c>
      <c r="B12" t="s">
        <v>17</v>
      </c>
      <c r="C12" t="s">
        <v>145</v>
      </c>
      <c r="D12">
        <v>2</v>
      </c>
      <c r="E12">
        <v>56000</v>
      </c>
      <c r="F12">
        <v>0.15</v>
      </c>
      <c r="G12">
        <v>0</v>
      </c>
      <c r="H12">
        <v>95200</v>
      </c>
      <c r="I12" s="6">
        <v>46061</v>
      </c>
      <c r="J12" t="s">
        <v>23</v>
      </c>
      <c r="K12" t="s">
        <v>15</v>
      </c>
    </row>
    <row r="13" spans="1:12" x14ac:dyDescent="0.25">
      <c r="A13" t="s">
        <v>50</v>
      </c>
      <c r="B13" t="s">
        <v>12</v>
      </c>
      <c r="C13" t="s">
        <v>146</v>
      </c>
      <c r="D13">
        <v>1</v>
      </c>
      <c r="E13">
        <v>125000</v>
      </c>
      <c r="F13">
        <v>0.1</v>
      </c>
      <c r="G13">
        <v>500</v>
      </c>
      <c r="H13">
        <v>113000</v>
      </c>
      <c r="I13" s="6">
        <v>46065</v>
      </c>
      <c r="J13" t="s">
        <v>14</v>
      </c>
      <c r="K13" t="s">
        <v>15</v>
      </c>
    </row>
    <row r="14" spans="1:12" x14ac:dyDescent="0.25">
      <c r="A14" t="s">
        <v>52</v>
      </c>
      <c r="B14" t="s">
        <v>35</v>
      </c>
      <c r="C14" t="s">
        <v>53</v>
      </c>
      <c r="D14">
        <v>3</v>
      </c>
      <c r="E14">
        <v>22000</v>
      </c>
      <c r="F14">
        <v>0.05</v>
      </c>
      <c r="G14">
        <v>200</v>
      </c>
      <c r="H14">
        <v>62900</v>
      </c>
      <c r="I14" s="6">
        <v>46068</v>
      </c>
      <c r="J14" t="s">
        <v>37</v>
      </c>
      <c r="K14" t="s">
        <v>15</v>
      </c>
    </row>
    <row r="15" spans="1:12" x14ac:dyDescent="0.25">
      <c r="A15" t="s">
        <v>55</v>
      </c>
      <c r="B15" t="s">
        <v>21</v>
      </c>
      <c r="C15" t="s">
        <v>147</v>
      </c>
      <c r="D15">
        <v>1</v>
      </c>
      <c r="E15">
        <v>110000</v>
      </c>
      <c r="F15">
        <v>0.08</v>
      </c>
      <c r="G15">
        <v>0</v>
      </c>
      <c r="H15">
        <v>101200</v>
      </c>
      <c r="I15" s="6">
        <v>46071</v>
      </c>
      <c r="J15" t="s">
        <v>19</v>
      </c>
      <c r="K15" t="s">
        <v>15</v>
      </c>
    </row>
    <row r="16" spans="1:12" x14ac:dyDescent="0.25">
      <c r="A16" t="s">
        <v>57</v>
      </c>
      <c r="B16" t="s">
        <v>17</v>
      </c>
      <c r="C16" t="s">
        <v>58</v>
      </c>
      <c r="D16">
        <v>4</v>
      </c>
      <c r="E16">
        <v>59000</v>
      </c>
      <c r="F16">
        <v>0.4</v>
      </c>
      <c r="G16">
        <v>0</v>
      </c>
      <c r="H16">
        <v>141600</v>
      </c>
      <c r="I16" s="6">
        <v>46075</v>
      </c>
      <c r="J16" t="s">
        <v>30</v>
      </c>
      <c r="K16" t="s">
        <v>15</v>
      </c>
      <c r="L16" t="s">
        <v>120</v>
      </c>
    </row>
    <row r="17" spans="1:11" x14ac:dyDescent="0.25">
      <c r="A17" t="s">
        <v>59</v>
      </c>
      <c r="B17" t="s">
        <v>12</v>
      </c>
      <c r="C17" t="s">
        <v>148</v>
      </c>
      <c r="D17">
        <v>1</v>
      </c>
      <c r="E17">
        <v>135000</v>
      </c>
      <c r="F17">
        <v>0.12</v>
      </c>
      <c r="G17">
        <v>700</v>
      </c>
      <c r="H17">
        <v>119500</v>
      </c>
      <c r="I17" s="6">
        <v>46078</v>
      </c>
      <c r="J17" t="s">
        <v>40</v>
      </c>
      <c r="K17" t="s">
        <v>15</v>
      </c>
    </row>
    <row r="18" spans="1:11" x14ac:dyDescent="0.25">
      <c r="A18" t="s">
        <v>61</v>
      </c>
      <c r="B18" t="s">
        <v>25</v>
      </c>
      <c r="C18" t="s">
        <v>149</v>
      </c>
      <c r="D18">
        <v>10</v>
      </c>
      <c r="E18">
        <v>3500</v>
      </c>
      <c r="F18">
        <v>0</v>
      </c>
      <c r="G18">
        <v>100</v>
      </c>
      <c r="H18">
        <v>35100</v>
      </c>
      <c r="I18" s="6">
        <v>46081</v>
      </c>
      <c r="J18" t="s">
        <v>14</v>
      </c>
      <c r="K18" t="s">
        <v>15</v>
      </c>
    </row>
    <row r="19" spans="1:11" x14ac:dyDescent="0.25">
      <c r="A19" t="s">
        <v>63</v>
      </c>
      <c r="B19" t="s">
        <v>17</v>
      </c>
      <c r="C19" t="s">
        <v>150</v>
      </c>
      <c r="D19">
        <v>1</v>
      </c>
      <c r="E19">
        <v>145000</v>
      </c>
      <c r="F19">
        <v>0.03</v>
      </c>
      <c r="G19">
        <v>0</v>
      </c>
      <c r="H19">
        <v>140650</v>
      </c>
      <c r="I19" s="6">
        <v>46086</v>
      </c>
      <c r="J19" t="s">
        <v>23</v>
      </c>
      <c r="K19" t="s">
        <v>15</v>
      </c>
    </row>
    <row r="20" spans="1:11" x14ac:dyDescent="0.25">
      <c r="A20" t="s">
        <v>65</v>
      </c>
      <c r="B20" t="s">
        <v>12</v>
      </c>
      <c r="C20" t="s">
        <v>151</v>
      </c>
      <c r="D20">
        <v>2</v>
      </c>
      <c r="E20">
        <v>85000</v>
      </c>
      <c r="F20">
        <v>0.08</v>
      </c>
      <c r="G20">
        <v>500</v>
      </c>
      <c r="H20">
        <v>156900</v>
      </c>
      <c r="I20" s="6">
        <v>46091</v>
      </c>
      <c r="J20" t="s">
        <v>19</v>
      </c>
      <c r="K20" t="s">
        <v>15</v>
      </c>
    </row>
    <row r="21" spans="1:11" x14ac:dyDescent="0.25">
      <c r="A21" t="s">
        <v>67</v>
      </c>
      <c r="B21" t="s">
        <v>35</v>
      </c>
      <c r="C21" t="s">
        <v>68</v>
      </c>
      <c r="D21">
        <v>2</v>
      </c>
      <c r="E21">
        <v>75000</v>
      </c>
      <c r="F21">
        <v>0.15</v>
      </c>
      <c r="G21">
        <v>300</v>
      </c>
      <c r="H21">
        <v>127800</v>
      </c>
      <c r="I21" s="6">
        <v>46096</v>
      </c>
      <c r="J21" t="s">
        <v>37</v>
      </c>
      <c r="K21" t="s">
        <v>33</v>
      </c>
    </row>
    <row r="22" spans="1:11" x14ac:dyDescent="0.25">
      <c r="A22" t="s">
        <v>69</v>
      </c>
      <c r="B22" t="s">
        <v>21</v>
      </c>
      <c r="C22" t="s">
        <v>70</v>
      </c>
      <c r="D22">
        <v>3</v>
      </c>
      <c r="E22">
        <v>28000</v>
      </c>
      <c r="F22">
        <v>0.1</v>
      </c>
      <c r="G22">
        <v>0</v>
      </c>
      <c r="H22">
        <v>75600</v>
      </c>
      <c r="I22" s="6">
        <v>46101</v>
      </c>
      <c r="J22" t="s">
        <v>14</v>
      </c>
      <c r="K22" t="s">
        <v>15</v>
      </c>
    </row>
    <row r="23" spans="1:11" x14ac:dyDescent="0.25">
      <c r="A23" t="s">
        <v>71</v>
      </c>
      <c r="B23" t="s">
        <v>17</v>
      </c>
      <c r="C23" t="s">
        <v>72</v>
      </c>
      <c r="D23">
        <v>1</v>
      </c>
      <c r="E23">
        <v>72000</v>
      </c>
      <c r="F23">
        <v>0.05</v>
      </c>
      <c r="G23">
        <v>200</v>
      </c>
      <c r="H23">
        <v>68600</v>
      </c>
      <c r="I23" s="6">
        <v>46106</v>
      </c>
      <c r="J23" t="s">
        <v>46</v>
      </c>
      <c r="K23" t="s">
        <v>15</v>
      </c>
    </row>
    <row r="24" spans="1:11" x14ac:dyDescent="0.25">
      <c r="A24" t="s">
        <v>73</v>
      </c>
      <c r="B24" t="s">
        <v>12</v>
      </c>
      <c r="C24" t="s">
        <v>74</v>
      </c>
      <c r="D24">
        <v>1</v>
      </c>
      <c r="E24">
        <v>45000</v>
      </c>
      <c r="F24">
        <v>0</v>
      </c>
      <c r="G24">
        <v>400</v>
      </c>
      <c r="H24">
        <v>45400</v>
      </c>
      <c r="I24" s="6">
        <v>46109</v>
      </c>
      <c r="J24" t="s">
        <v>30</v>
      </c>
      <c r="K24" t="s">
        <v>15</v>
      </c>
    </row>
  </sheetData>
  <conditionalFormatting sqref="F2:F24">
    <cfRule type="cellIs" dxfId="0" priority="1" operator="greaterThanOrEqual">
      <formula>0.2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8953-6F67-4D95-9624-EDD09A30E875}">
  <dimension ref="A1:H26"/>
  <sheetViews>
    <sheetView workbookViewId="0">
      <selection activeCell="F22" sqref="F22"/>
    </sheetView>
  </sheetViews>
  <sheetFormatPr defaultRowHeight="15" x14ac:dyDescent="0.25"/>
  <cols>
    <col min="1" max="1" width="18.28515625" customWidth="1"/>
    <col min="2" max="2" width="12.28515625" customWidth="1"/>
    <col min="3" max="3" width="15.85546875" customWidth="1"/>
  </cols>
  <sheetData>
    <row r="1" spans="1:8" x14ac:dyDescent="0.25">
      <c r="A1" s="10" t="s">
        <v>166</v>
      </c>
      <c r="B1" s="10" t="s">
        <v>126</v>
      </c>
    </row>
    <row r="2" spans="1:8" x14ac:dyDescent="0.25">
      <c r="A2" s="8" t="s">
        <v>123</v>
      </c>
      <c r="B2" s="9">
        <f>SUM('Clean data'!H2:H24)</f>
        <v>1991450</v>
      </c>
    </row>
    <row r="3" spans="1:8" x14ac:dyDescent="0.25">
      <c r="A3" s="8" t="s">
        <v>124</v>
      </c>
      <c r="B3" s="9">
        <f>SUM('Clean data'!G2:G24)</f>
        <v>5050</v>
      </c>
    </row>
    <row r="4" spans="1:8" x14ac:dyDescent="0.25">
      <c r="A4" s="8" t="s">
        <v>125</v>
      </c>
      <c r="B4" s="9">
        <f>SUM('Clean data'!D2:D24)</f>
        <v>47</v>
      </c>
    </row>
    <row r="8" spans="1:8" x14ac:dyDescent="0.25">
      <c r="A8" s="5" t="s">
        <v>127</v>
      </c>
      <c r="B8" s="5" t="s">
        <v>128</v>
      </c>
      <c r="C8" s="5" t="s">
        <v>130</v>
      </c>
    </row>
    <row r="9" spans="1:8" x14ac:dyDescent="0.25">
      <c r="A9" t="s">
        <v>17</v>
      </c>
      <c r="B9">
        <v>694050</v>
      </c>
      <c r="C9">
        <v>34.851490120264131</v>
      </c>
    </row>
    <row r="10" spans="1:8" x14ac:dyDescent="0.25">
      <c r="A10" t="s">
        <v>12</v>
      </c>
      <c r="B10">
        <v>644050</v>
      </c>
      <c r="C10">
        <v>32.340756735042305</v>
      </c>
      <c r="H10" t="s">
        <v>132</v>
      </c>
    </row>
    <row r="11" spans="1:8" x14ac:dyDescent="0.25">
      <c r="A11" t="s">
        <v>35</v>
      </c>
      <c r="B11">
        <v>348200</v>
      </c>
      <c r="C11">
        <v>17.484747294684777</v>
      </c>
    </row>
    <row r="12" spans="1:8" x14ac:dyDescent="0.25">
      <c r="A12" t="s">
        <v>21</v>
      </c>
      <c r="B12">
        <v>228100</v>
      </c>
      <c r="C12">
        <v>11.453965703381957</v>
      </c>
    </row>
    <row r="13" spans="1:8" x14ac:dyDescent="0.25">
      <c r="A13" t="s">
        <v>25</v>
      </c>
      <c r="B13">
        <v>77050</v>
      </c>
      <c r="C13">
        <v>3.8690401466268294</v>
      </c>
    </row>
    <row r="14" spans="1:8" x14ac:dyDescent="0.25">
      <c r="A14" s="5" t="s">
        <v>129</v>
      </c>
      <c r="B14" s="5">
        <f>SUM(B9:B13)</f>
        <v>1991450</v>
      </c>
      <c r="C14" s="5">
        <f>SUM(C9:C13)</f>
        <v>100</v>
      </c>
    </row>
    <row r="16" spans="1:8" x14ac:dyDescent="0.25">
      <c r="A16" s="5" t="s">
        <v>131</v>
      </c>
      <c r="B16" s="5" t="s">
        <v>128</v>
      </c>
      <c r="C16" s="5" t="s">
        <v>130</v>
      </c>
    </row>
    <row r="17" spans="1:3" x14ac:dyDescent="0.25">
      <c r="A17" t="str">
        <f>'Clean data'!J2</f>
        <v>Mumbai</v>
      </c>
      <c r="B17">
        <f>SUMIF('Clean data'!$J$2:$J$24,'Sales Anylsis'!A17,'Clean data'!$H$2:$H$24)</f>
        <v>393500</v>
      </c>
      <c r="C17">
        <f>B17/$B$24*100</f>
        <v>19.759471741695751</v>
      </c>
    </row>
    <row r="18" spans="1:3" x14ac:dyDescent="0.25">
      <c r="A18" t="str">
        <f>'Clean data'!J3</f>
        <v>Delhi</v>
      </c>
      <c r="B18">
        <f>SUMIF('Clean data'!$J$2:$J$24,'Sales Anylsis'!A18,'Clean data'!$H$2:$H$24)</f>
        <v>506100</v>
      </c>
      <c r="C18">
        <f t="shared" ref="C18:C23" si="0">B18/$B$24*100</f>
        <v>25.413643325215297</v>
      </c>
    </row>
    <row r="19" spans="1:3" x14ac:dyDescent="0.25">
      <c r="A19" t="str">
        <f>'Clean data'!J4</f>
        <v>Bangalore</v>
      </c>
      <c r="B19">
        <f>SUMIF('Clean data'!$J$2:$J$24,'Sales Anylsis'!A19,'Clean data'!$H$2:$H$24)</f>
        <v>287150</v>
      </c>
      <c r="C19">
        <f t="shared" si="0"/>
        <v>14.419141831328929</v>
      </c>
    </row>
    <row r="20" spans="1:3" x14ac:dyDescent="0.25">
      <c r="A20" t="str">
        <f>'Clean data'!J6</f>
        <v>Pune</v>
      </c>
      <c r="B20">
        <f>SUMIF('Clean data'!$J$2:$J$24,'Sales Anylsis'!A20,'Clean data'!$H$2:$H$24)</f>
        <v>296250</v>
      </c>
      <c r="C20">
        <f t="shared" si="0"/>
        <v>14.876095307439302</v>
      </c>
    </row>
    <row r="21" spans="1:3" x14ac:dyDescent="0.25">
      <c r="A21" t="str">
        <f>'Clean data'!J8</f>
        <v>Chennai</v>
      </c>
      <c r="B21">
        <f>SUMIF('Clean data'!$J$2:$J$24,'Sales Anylsis'!A21,'Clean data'!$H$2:$H$24)</f>
        <v>348200</v>
      </c>
      <c r="C21">
        <f t="shared" si="0"/>
        <v>17.484747294684777</v>
      </c>
    </row>
    <row r="22" spans="1:3" x14ac:dyDescent="0.25">
      <c r="A22" t="str">
        <f>'Clean data'!J9</f>
        <v>Kolkata</v>
      </c>
      <c r="B22">
        <f>SUMIF('Clean data'!$J$2:$J$24,'Sales Anylsis'!A22,'Clean data'!$H$2:$H$24)</f>
        <v>119500</v>
      </c>
      <c r="C22">
        <f t="shared" si="0"/>
        <v>6.0006527906801574</v>
      </c>
    </row>
    <row r="23" spans="1:3" x14ac:dyDescent="0.25">
      <c r="A23" t="str">
        <f>'Clean data'!J11</f>
        <v>Hyderabad</v>
      </c>
      <c r="B23">
        <f>SUMIF('Clean data'!$J$2:$J$24,'Sales Anylsis'!A23,'Clean data'!$H$2:$H$24)</f>
        <v>40750</v>
      </c>
      <c r="C23">
        <f t="shared" si="0"/>
        <v>2.0462477089557862</v>
      </c>
    </row>
    <row r="24" spans="1:3" x14ac:dyDescent="0.25">
      <c r="A24" s="5" t="s">
        <v>129</v>
      </c>
      <c r="B24" s="5">
        <f>SUM(B17:B23)</f>
        <v>1991450</v>
      </c>
      <c r="C24" s="5">
        <f>SUM(C17:C23)</f>
        <v>100.00000000000001</v>
      </c>
    </row>
    <row r="26" spans="1:3" x14ac:dyDescent="0.25">
      <c r="A26" s="5" t="s">
        <v>133</v>
      </c>
      <c r="B26" s="5">
        <f>AVERAGE('Clean data'!F2:F24)*100</f>
        <v>11.130434782608695</v>
      </c>
    </row>
  </sheetData>
  <sortState ref="A9:C13">
    <sortCondition descending="1" ref="B9:B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1B8E2-419E-4582-BF7F-CE3DCFF57D9C}">
  <dimension ref="A1:L25"/>
  <sheetViews>
    <sheetView tabSelected="1" topLeftCell="C1" workbookViewId="0">
      <selection activeCell="I28" sqref="I28"/>
    </sheetView>
  </sheetViews>
  <sheetFormatPr defaultRowHeight="15" x14ac:dyDescent="0.25"/>
  <cols>
    <col min="2" max="2" width="12.42578125" customWidth="1"/>
    <col min="3" max="3" width="13.7109375" customWidth="1"/>
    <col min="4" max="4" width="14.5703125" customWidth="1"/>
    <col min="5" max="5" width="14.140625" customWidth="1"/>
    <col min="6" max="6" width="15.85546875" customWidth="1"/>
    <col min="8" max="8" width="13.5703125" customWidth="1"/>
    <col min="9" max="9" width="25.28515625" bestFit="1" customWidth="1"/>
    <col min="10" max="10" width="25.28515625" customWidth="1"/>
    <col min="11" max="11" width="27.7109375" customWidth="1"/>
    <col min="12" max="12" width="10.7109375" customWidth="1"/>
  </cols>
  <sheetData>
    <row r="1" spans="1:12" x14ac:dyDescent="0.25">
      <c r="A1" s="5" t="str">
        <f>'Clean data'!A1</f>
        <v>Order_Id</v>
      </c>
      <c r="B1" s="5" t="s">
        <v>155</v>
      </c>
      <c r="C1" s="5" t="s">
        <v>156</v>
      </c>
      <c r="D1" s="5" t="s">
        <v>157</v>
      </c>
      <c r="E1" s="5" t="s">
        <v>158</v>
      </c>
      <c r="F1" s="5" t="s">
        <v>159</v>
      </c>
      <c r="G1" s="5" t="s">
        <v>138</v>
      </c>
      <c r="H1" s="5" t="s">
        <v>160</v>
      </c>
      <c r="I1" s="5" t="s">
        <v>161</v>
      </c>
      <c r="J1" s="5" t="s">
        <v>153</v>
      </c>
    </row>
    <row r="2" spans="1:12" x14ac:dyDescent="0.25">
      <c r="A2" t="str">
        <f>'Clean data'!A2</f>
        <v>ORD001</v>
      </c>
      <c r="B2">
        <f>ABS('Clean data'!D2*'Clean data'!E2)</f>
        <v>55000</v>
      </c>
      <c r="C2">
        <f>ABS(('Clean data'!D2*'Clean data'!E2)*'Clean data'!F2)</f>
        <v>5500</v>
      </c>
      <c r="D2">
        <f>IF('Clean data'!K2="Return",ABS('Clean data'!D2*'Clean data'!E2),0)</f>
        <v>0</v>
      </c>
      <c r="E2">
        <f>B2-C2-D2</f>
        <v>49500</v>
      </c>
      <c r="F2">
        <f>ABS('Clean data'!D2*('Clean data'!E2*0.7))</f>
        <v>38500</v>
      </c>
      <c r="G2">
        <f>E2-F2</f>
        <v>11000</v>
      </c>
      <c r="H2">
        <f>IF('Clean data'!K2="Paid",'Clean data'!H2*0.02,0)</f>
        <v>1000</v>
      </c>
      <c r="I2">
        <f>'Clean data'!G2</f>
        <v>500</v>
      </c>
      <c r="J2">
        <f>G2-H2+I2</f>
        <v>10500</v>
      </c>
    </row>
    <row r="3" spans="1:12" x14ac:dyDescent="0.25">
      <c r="A3" t="str">
        <f>'Clean data'!A3</f>
        <v>ORD002</v>
      </c>
      <c r="B3">
        <f>ABS('Clean data'!D3*'Clean data'!E3)</f>
        <v>158000</v>
      </c>
      <c r="C3">
        <f>ABS(('Clean data'!D3*'Clean data'!E3)*'Clean data'!F3)</f>
        <v>7900</v>
      </c>
      <c r="D3">
        <f>IF('Clean data'!K3="Return",ABS('Clean data'!D3*'Clean data'!E3),0)</f>
        <v>0</v>
      </c>
      <c r="E3">
        <f t="shared" ref="E3:E24" si="0">B3-C3-D3</f>
        <v>150100</v>
      </c>
      <c r="F3">
        <f>ABS('Clean data'!D3*('Clean data'!E3*0.7))</f>
        <v>110600</v>
      </c>
      <c r="G3">
        <f t="shared" ref="G3:G24" si="1">E3-F3</f>
        <v>39500</v>
      </c>
      <c r="H3">
        <f>IF('Clean data'!K3="Paid",'Clean data'!H3*0.02,0)</f>
        <v>3002</v>
      </c>
      <c r="I3">
        <f>'Clean data'!G3</f>
        <v>0</v>
      </c>
      <c r="J3">
        <f t="shared" ref="J3:J24" si="2">G3-H3+I3</f>
        <v>36498</v>
      </c>
      <c r="K3" s="5" t="s">
        <v>134</v>
      </c>
      <c r="L3" s="5">
        <f>B25</f>
        <v>2395000</v>
      </c>
    </row>
    <row r="4" spans="1:12" x14ac:dyDescent="0.25">
      <c r="A4" t="str">
        <f>'Clean data'!A4</f>
        <v>ORD003</v>
      </c>
      <c r="B4">
        <f>ABS('Clean data'!D4*'Clean data'!E4)</f>
        <v>60000</v>
      </c>
      <c r="C4">
        <f>ABS(('Clean data'!D4*'Clean data'!E4)*'Clean data'!F4)</f>
        <v>9000</v>
      </c>
      <c r="D4">
        <f>IF('Clean data'!K4="Return",ABS('Clean data'!D4*'Clean data'!E4),0)</f>
        <v>0</v>
      </c>
      <c r="E4">
        <f t="shared" si="0"/>
        <v>51000</v>
      </c>
      <c r="F4">
        <f>ABS('Clean data'!D4*('Clean data'!E4*0.7))</f>
        <v>42000</v>
      </c>
      <c r="G4">
        <f t="shared" si="1"/>
        <v>9000</v>
      </c>
      <c r="H4">
        <f>IF('Clean data'!K4="Paid",'Clean data'!H4*0.02,0)</f>
        <v>1026</v>
      </c>
      <c r="I4">
        <f>'Clean data'!G4</f>
        <v>300</v>
      </c>
      <c r="J4">
        <f t="shared" si="2"/>
        <v>8274</v>
      </c>
      <c r="K4" t="s">
        <v>135</v>
      </c>
      <c r="L4" s="5">
        <f>C25</f>
        <v>352600</v>
      </c>
    </row>
    <row r="5" spans="1:12" x14ac:dyDescent="0.25">
      <c r="A5" t="str">
        <f>'Clean data'!A5</f>
        <v>ORD004</v>
      </c>
      <c r="B5">
        <f>ABS('Clean data'!D5*'Clean data'!E5)</f>
        <v>87000</v>
      </c>
      <c r="C5">
        <f>ABS(('Clean data'!D5*'Clean data'!E5)*'Clean data'!F5)</f>
        <v>17400</v>
      </c>
      <c r="D5">
        <f>IF('Clean data'!K5="Return",ABS('Clean data'!D5*'Clean data'!E5),0)</f>
        <v>0</v>
      </c>
      <c r="E5">
        <f t="shared" si="0"/>
        <v>69600</v>
      </c>
      <c r="F5">
        <f>ABS('Clean data'!D5*('Clean data'!E5*0.7))</f>
        <v>60900</v>
      </c>
      <c r="G5">
        <f t="shared" si="1"/>
        <v>8700</v>
      </c>
      <c r="H5">
        <f>IF('Clean data'!K5="Paid",'Clean data'!H5*0.02,0)</f>
        <v>1396</v>
      </c>
      <c r="I5">
        <f>'Clean data'!G5</f>
        <v>200</v>
      </c>
      <c r="J5">
        <f t="shared" si="2"/>
        <v>7504</v>
      </c>
      <c r="K5" t="s">
        <v>136</v>
      </c>
      <c r="L5">
        <f>D25</f>
        <v>28000</v>
      </c>
    </row>
    <row r="6" spans="1:12" x14ac:dyDescent="0.25">
      <c r="A6" t="str">
        <f>'Clean data'!A6</f>
        <v>ORD005</v>
      </c>
      <c r="B6">
        <f>ABS('Clean data'!D6*'Clean data'!E6)</f>
        <v>115000</v>
      </c>
      <c r="C6">
        <f>ABS(('Clean data'!D6*'Clean data'!E6)*'Clean data'!F6)</f>
        <v>5750</v>
      </c>
      <c r="D6">
        <f>IF('Clean data'!K6="Return",ABS('Clean data'!D6*'Clean data'!E6),0)</f>
        <v>0</v>
      </c>
      <c r="E6">
        <f t="shared" si="0"/>
        <v>109250</v>
      </c>
      <c r="F6">
        <f>ABS('Clean data'!D6*('Clean data'!E6*0.7))</f>
        <v>80500</v>
      </c>
      <c r="G6">
        <f t="shared" si="1"/>
        <v>28750</v>
      </c>
      <c r="H6">
        <f>IF('Clean data'!K6="Paid",'Clean data'!H6*0.02,0)</f>
        <v>2185</v>
      </c>
      <c r="I6">
        <f>'Clean data'!G6</f>
        <v>0</v>
      </c>
      <c r="J6">
        <f t="shared" si="2"/>
        <v>26565</v>
      </c>
      <c r="K6" s="5" t="s">
        <v>137</v>
      </c>
      <c r="L6" s="5">
        <f>L3-L4-L5</f>
        <v>2014400</v>
      </c>
    </row>
    <row r="7" spans="1:12" x14ac:dyDescent="0.25">
      <c r="A7" t="str">
        <f>'Clean data'!A7</f>
        <v>ORD006</v>
      </c>
      <c r="B7">
        <f>ABS('Clean data'!D7*'Clean data'!E7)</f>
        <v>130000</v>
      </c>
      <c r="C7">
        <f>ABS(('Clean data'!D7*'Clean data'!E7)*'Clean data'!F7)</f>
        <v>32500</v>
      </c>
      <c r="D7">
        <f>IF('Clean data'!K7="Return",ABS('Clean data'!D7*'Clean data'!E7),0)</f>
        <v>0</v>
      </c>
      <c r="E7">
        <f t="shared" si="0"/>
        <v>97500</v>
      </c>
      <c r="F7">
        <f>ABS('Clean data'!D7*('Clean data'!E7*0.7))</f>
        <v>91000</v>
      </c>
      <c r="G7">
        <f t="shared" si="1"/>
        <v>6500</v>
      </c>
      <c r="H7">
        <f>IF('Clean data'!K7="Paid",'Clean data'!H7*0.02,0)</f>
        <v>0</v>
      </c>
      <c r="I7">
        <f>'Clean data'!G7</f>
        <v>400</v>
      </c>
      <c r="J7">
        <f t="shared" si="2"/>
        <v>6900</v>
      </c>
      <c r="K7" t="s">
        <v>164</v>
      </c>
      <c r="L7" s="5">
        <f>F25</f>
        <v>1676500</v>
      </c>
    </row>
    <row r="8" spans="1:12" x14ac:dyDescent="0.25">
      <c r="A8" t="str">
        <f>'Clean data'!A8</f>
        <v>ORD007</v>
      </c>
      <c r="B8">
        <f>ABS('Clean data'!D8*'Clean data'!E8)</f>
        <v>225000</v>
      </c>
      <c r="C8">
        <f>ABS(('Clean data'!D8*'Clean data'!E8)*'Clean data'!F8)</f>
        <v>67500</v>
      </c>
      <c r="D8">
        <f>IF('Clean data'!K8="Return",ABS('Clean data'!D8*'Clean data'!E8),0)</f>
        <v>0</v>
      </c>
      <c r="E8">
        <f t="shared" si="0"/>
        <v>157500</v>
      </c>
      <c r="F8">
        <f>ABS('Clean data'!D8*('Clean data'!E8*0.7))</f>
        <v>157499.99999999997</v>
      </c>
      <c r="G8">
        <f t="shared" si="1"/>
        <v>0</v>
      </c>
      <c r="H8">
        <f>IF('Clean data'!K8="Paid",'Clean data'!H8*0.02,0)</f>
        <v>3150</v>
      </c>
      <c r="I8">
        <f>'Clean data'!G8</f>
        <v>0</v>
      </c>
      <c r="J8">
        <f t="shared" si="2"/>
        <v>-3150</v>
      </c>
      <c r="K8" s="5" t="s">
        <v>138</v>
      </c>
      <c r="L8" s="5">
        <f>L6-L7</f>
        <v>337900</v>
      </c>
    </row>
    <row r="9" spans="1:12" x14ac:dyDescent="0.25">
      <c r="A9" t="str">
        <f>'Clean data'!A9</f>
        <v>ORD008</v>
      </c>
      <c r="B9">
        <f>ABS('Clean data'!D9*'Clean data'!E9)</f>
        <v>0</v>
      </c>
      <c r="C9">
        <f>ABS(('Clean data'!D9*'Clean data'!E9)*'Clean data'!F9)</f>
        <v>0</v>
      </c>
      <c r="D9">
        <f>IF('Clean data'!K9="Return",ABS('Clean data'!D9*'Clean data'!E9),0)</f>
        <v>0</v>
      </c>
      <c r="E9">
        <f t="shared" si="0"/>
        <v>0</v>
      </c>
      <c r="F9">
        <f>ABS('Clean data'!D9*('Clean data'!E9*0.7))</f>
        <v>0</v>
      </c>
      <c r="G9">
        <f t="shared" si="1"/>
        <v>0</v>
      </c>
      <c r="H9">
        <f>IF('Clean data'!K9="Paid",'Clean data'!H9*0.02,0)</f>
        <v>0</v>
      </c>
      <c r="I9">
        <f>'Clean data'!G9</f>
        <v>0</v>
      </c>
      <c r="J9">
        <f t="shared" si="2"/>
        <v>0</v>
      </c>
      <c r="K9" t="s">
        <v>154</v>
      </c>
      <c r="L9" s="5">
        <f>H25</f>
        <v>35872</v>
      </c>
    </row>
    <row r="10" spans="1:12" x14ac:dyDescent="0.25">
      <c r="A10" t="str">
        <f>'Clean data'!A10</f>
        <v>ORD009</v>
      </c>
      <c r="B10">
        <f>ABS('Clean data'!D10*'Clean data'!E10)</f>
        <v>52000</v>
      </c>
      <c r="C10">
        <f>ABS(('Clean data'!D10*'Clean data'!E10)*'Clean data'!F10)</f>
        <v>2600</v>
      </c>
      <c r="D10">
        <f>IF('Clean data'!K10="Return",ABS('Clean data'!D10*'Clean data'!E10),0)</f>
        <v>0</v>
      </c>
      <c r="E10">
        <f t="shared" si="0"/>
        <v>49400</v>
      </c>
      <c r="F10">
        <f>ABS('Clean data'!D10*('Clean data'!E10*0.7))</f>
        <v>36400</v>
      </c>
      <c r="G10">
        <f t="shared" si="1"/>
        <v>13000</v>
      </c>
      <c r="H10">
        <f>IF('Clean data'!K10="Paid",'Clean data'!H10*0.02,0)</f>
        <v>1000</v>
      </c>
      <c r="I10">
        <f>'Clean data'!G10</f>
        <v>600</v>
      </c>
      <c r="J10">
        <f t="shared" si="2"/>
        <v>12600</v>
      </c>
      <c r="K10" s="5" t="s">
        <v>152</v>
      </c>
      <c r="L10">
        <f>I25</f>
        <v>5050</v>
      </c>
    </row>
    <row r="11" spans="1:12" x14ac:dyDescent="0.25">
      <c r="A11" t="str">
        <f>'Clean data'!A11</f>
        <v>ORD010</v>
      </c>
      <c r="B11">
        <f>ABS('Clean data'!D11*'Clean data'!E11)</f>
        <v>28000</v>
      </c>
      <c r="C11">
        <f>ABS(('Clean data'!D11*'Clean data'!E11)*'Clean data'!F11)</f>
        <v>0</v>
      </c>
      <c r="D11">
        <f>IF('Clean data'!K11="Return",ABS('Clean data'!D11*'Clean data'!E11),0)</f>
        <v>28000</v>
      </c>
      <c r="E11">
        <f t="shared" si="0"/>
        <v>0</v>
      </c>
      <c r="F11">
        <f>ABS('Clean data'!D11*('Clean data'!E11*0.7))</f>
        <v>19600</v>
      </c>
      <c r="G11">
        <f t="shared" si="1"/>
        <v>-19600</v>
      </c>
      <c r="H11">
        <f>IF('Clean data'!K11="Paid",'Clean data'!H11*0.02,0)</f>
        <v>0</v>
      </c>
      <c r="I11">
        <f>'Clean data'!G11</f>
        <v>150</v>
      </c>
      <c r="J11">
        <f t="shared" si="2"/>
        <v>-19450</v>
      </c>
      <c r="K11" t="s">
        <v>153</v>
      </c>
      <c r="L11" s="5">
        <f>L8-L9+L10</f>
        <v>307078</v>
      </c>
    </row>
    <row r="12" spans="1:12" x14ac:dyDescent="0.25">
      <c r="A12" t="str">
        <f>'Clean data'!A12</f>
        <v>ORD011</v>
      </c>
      <c r="B12">
        <f>ABS('Clean data'!D12*'Clean data'!E12)</f>
        <v>112000</v>
      </c>
      <c r="C12">
        <f>ABS(('Clean data'!D12*'Clean data'!E12)*'Clean data'!F12)</f>
        <v>16800</v>
      </c>
      <c r="D12">
        <f>IF('Clean data'!K12="Return",ABS('Clean data'!D12*'Clean data'!E12),0)</f>
        <v>0</v>
      </c>
      <c r="E12">
        <f t="shared" si="0"/>
        <v>95200</v>
      </c>
      <c r="F12">
        <f>ABS('Clean data'!D12*('Clean data'!E12*0.7))</f>
        <v>78400</v>
      </c>
      <c r="G12">
        <f t="shared" si="1"/>
        <v>16800</v>
      </c>
      <c r="H12">
        <f>IF('Clean data'!K12="Paid",'Clean data'!H12*0.02,0)</f>
        <v>1904</v>
      </c>
      <c r="I12">
        <f>'Clean data'!G12</f>
        <v>0</v>
      </c>
      <c r="J12">
        <f t="shared" si="2"/>
        <v>14896</v>
      </c>
      <c r="K12" s="5" t="s">
        <v>162</v>
      </c>
      <c r="L12" s="5">
        <f>L11/L6</f>
        <v>0.15244142176330422</v>
      </c>
    </row>
    <row r="13" spans="1:12" x14ac:dyDescent="0.25">
      <c r="A13" t="str">
        <f>'Clean data'!A13</f>
        <v>ORD012</v>
      </c>
      <c r="B13">
        <f>ABS('Clean data'!D13*'Clean data'!E13)</f>
        <v>125000</v>
      </c>
      <c r="C13">
        <f>ABS(('Clean data'!D13*'Clean data'!E13)*'Clean data'!F13)</f>
        <v>12500</v>
      </c>
      <c r="D13">
        <f>IF('Clean data'!K13="Return",ABS('Clean data'!D13*'Clean data'!E13),0)</f>
        <v>0</v>
      </c>
      <c r="E13">
        <f t="shared" si="0"/>
        <v>112500</v>
      </c>
      <c r="F13">
        <f>ABS('Clean data'!D13*('Clean data'!E13*0.7))</f>
        <v>87500</v>
      </c>
      <c r="G13">
        <f t="shared" si="1"/>
        <v>25000</v>
      </c>
      <c r="H13">
        <f>IF('Clean data'!K13="Paid",'Clean data'!H13*0.02,0)</f>
        <v>2260</v>
      </c>
      <c r="I13">
        <f>'Clean data'!G13</f>
        <v>500</v>
      </c>
      <c r="J13">
        <f t="shared" si="2"/>
        <v>23240</v>
      </c>
      <c r="K13" s="5" t="s">
        <v>163</v>
      </c>
      <c r="L13" s="5">
        <f>L8/L6</f>
        <v>0.16774225575853852</v>
      </c>
    </row>
    <row r="14" spans="1:12" x14ac:dyDescent="0.25">
      <c r="A14" t="str">
        <f>'Clean data'!A14</f>
        <v>ORD013</v>
      </c>
      <c r="B14">
        <f>ABS('Clean data'!D14*'Clean data'!E14)</f>
        <v>66000</v>
      </c>
      <c r="C14">
        <f>ABS(('Clean data'!D14*'Clean data'!E14)*'Clean data'!F14)</f>
        <v>3300</v>
      </c>
      <c r="D14">
        <f>IF('Clean data'!K14="Return",ABS('Clean data'!D14*'Clean data'!E14),0)</f>
        <v>0</v>
      </c>
      <c r="E14">
        <f t="shared" si="0"/>
        <v>62700</v>
      </c>
      <c r="F14">
        <f>ABS('Clean data'!D14*('Clean data'!E14*0.7))</f>
        <v>46199.999999999993</v>
      </c>
      <c r="G14">
        <f t="shared" si="1"/>
        <v>16500.000000000007</v>
      </c>
      <c r="H14">
        <f>IF('Clean data'!K14="Paid",'Clean data'!H14*0.02,0)</f>
        <v>1258</v>
      </c>
      <c r="I14">
        <f>'Clean data'!G14</f>
        <v>200</v>
      </c>
      <c r="J14">
        <f t="shared" si="2"/>
        <v>15442.000000000007</v>
      </c>
    </row>
    <row r="15" spans="1:12" x14ac:dyDescent="0.25">
      <c r="A15" t="str">
        <f>'Clean data'!A15</f>
        <v>ORD014</v>
      </c>
      <c r="B15">
        <f>ABS('Clean data'!D15*'Clean data'!E15)</f>
        <v>110000</v>
      </c>
      <c r="C15">
        <f>ABS(('Clean data'!D15*'Clean data'!E15)*'Clean data'!F15)</f>
        <v>8800</v>
      </c>
      <c r="D15">
        <f>IF('Clean data'!K15="Return",ABS('Clean data'!D15*'Clean data'!E15),0)</f>
        <v>0</v>
      </c>
      <c r="E15">
        <f t="shared" si="0"/>
        <v>101200</v>
      </c>
      <c r="F15">
        <f>ABS('Clean data'!D15*('Clean data'!E15*0.7))</f>
        <v>77000</v>
      </c>
      <c r="G15">
        <f t="shared" si="1"/>
        <v>24200</v>
      </c>
      <c r="H15">
        <f>IF('Clean data'!K15="Paid",'Clean data'!H15*0.02,0)</f>
        <v>2024</v>
      </c>
      <c r="I15">
        <f>'Clean data'!G15</f>
        <v>0</v>
      </c>
      <c r="J15">
        <f t="shared" si="2"/>
        <v>22176</v>
      </c>
    </row>
    <row r="16" spans="1:12" x14ac:dyDescent="0.25">
      <c r="A16" t="str">
        <f>'Clean data'!A16</f>
        <v>ORD015</v>
      </c>
      <c r="B16">
        <f>ABS('Clean data'!D16*'Clean data'!E16)</f>
        <v>236000</v>
      </c>
      <c r="C16">
        <f>ABS(('Clean data'!D16*'Clean data'!E16)*'Clean data'!F16)</f>
        <v>94400</v>
      </c>
      <c r="D16">
        <f>IF('Clean data'!K16="Return",ABS('Clean data'!D16*'Clean data'!E16),0)</f>
        <v>0</v>
      </c>
      <c r="E16">
        <f t="shared" si="0"/>
        <v>141600</v>
      </c>
      <c r="F16">
        <f>ABS('Clean data'!D16*('Clean data'!E16*0.7))</f>
        <v>165200</v>
      </c>
      <c r="G16">
        <f t="shared" si="1"/>
        <v>-23600</v>
      </c>
      <c r="H16">
        <f>IF('Clean data'!K16="Paid",'Clean data'!H16*0.02,0)</f>
        <v>2832</v>
      </c>
      <c r="I16">
        <f>'Clean data'!G16</f>
        <v>0</v>
      </c>
      <c r="J16">
        <f t="shared" si="2"/>
        <v>-26432</v>
      </c>
    </row>
    <row r="17" spans="1:10" x14ac:dyDescent="0.25">
      <c r="A17" t="str">
        <f>'Clean data'!A17</f>
        <v>ORD016</v>
      </c>
      <c r="B17">
        <f>ABS('Clean data'!D17*'Clean data'!E17)</f>
        <v>135000</v>
      </c>
      <c r="C17">
        <f>ABS(('Clean data'!D17*'Clean data'!E17)*'Clean data'!F17)</f>
        <v>16200</v>
      </c>
      <c r="D17">
        <f>IF('Clean data'!K17="Return",ABS('Clean data'!D17*'Clean data'!E17),0)</f>
        <v>0</v>
      </c>
      <c r="E17">
        <f t="shared" si="0"/>
        <v>118800</v>
      </c>
      <c r="F17">
        <f>ABS('Clean data'!D17*('Clean data'!E17*0.7))</f>
        <v>94500</v>
      </c>
      <c r="G17">
        <f t="shared" si="1"/>
        <v>24300</v>
      </c>
      <c r="H17">
        <f>IF('Clean data'!K17="Paid",'Clean data'!H17*0.02,0)</f>
        <v>2390</v>
      </c>
      <c r="I17">
        <f>'Clean data'!G17</f>
        <v>700</v>
      </c>
      <c r="J17">
        <f t="shared" si="2"/>
        <v>22610</v>
      </c>
    </row>
    <row r="18" spans="1:10" x14ac:dyDescent="0.25">
      <c r="A18" t="str">
        <f>'Clean data'!A18</f>
        <v>ORD017</v>
      </c>
      <c r="B18">
        <f>ABS('Clean data'!D18*'Clean data'!E18)</f>
        <v>35000</v>
      </c>
      <c r="C18">
        <f>ABS(('Clean data'!D18*'Clean data'!E18)*'Clean data'!F18)</f>
        <v>0</v>
      </c>
      <c r="D18">
        <f>IF('Clean data'!K18="Return",ABS('Clean data'!D18*'Clean data'!E18),0)</f>
        <v>0</v>
      </c>
      <c r="E18">
        <f t="shared" si="0"/>
        <v>35000</v>
      </c>
      <c r="F18">
        <f>ABS('Clean data'!D18*('Clean data'!E18*0.7))</f>
        <v>24500</v>
      </c>
      <c r="G18">
        <f t="shared" si="1"/>
        <v>10500</v>
      </c>
      <c r="H18">
        <f>IF('Clean data'!K18="Paid",'Clean data'!H18*0.02,0)</f>
        <v>702</v>
      </c>
      <c r="I18">
        <f>'Clean data'!G18</f>
        <v>100</v>
      </c>
      <c r="J18">
        <f t="shared" si="2"/>
        <v>9898</v>
      </c>
    </row>
    <row r="19" spans="1:10" x14ac:dyDescent="0.25">
      <c r="A19" t="str">
        <f>'Clean data'!A19</f>
        <v>ORD018</v>
      </c>
      <c r="B19">
        <f>ABS('Clean data'!D19*'Clean data'!E19)</f>
        <v>145000</v>
      </c>
      <c r="C19">
        <f>ABS(('Clean data'!D19*'Clean data'!E19)*'Clean data'!F19)</f>
        <v>4350</v>
      </c>
      <c r="D19">
        <f>IF('Clean data'!K19="Return",ABS('Clean data'!D19*'Clean data'!E19),0)</f>
        <v>0</v>
      </c>
      <c r="E19">
        <f t="shared" si="0"/>
        <v>140650</v>
      </c>
      <c r="F19">
        <f>ABS('Clean data'!D19*('Clean data'!E19*0.7))</f>
        <v>101500</v>
      </c>
      <c r="G19">
        <f t="shared" si="1"/>
        <v>39150</v>
      </c>
      <c r="H19">
        <f>IF('Clean data'!K19="Paid",'Clean data'!H19*0.02,0)</f>
        <v>2813</v>
      </c>
      <c r="I19">
        <f>'Clean data'!G19</f>
        <v>0</v>
      </c>
      <c r="J19">
        <f t="shared" si="2"/>
        <v>36337</v>
      </c>
    </row>
    <row r="20" spans="1:10" x14ac:dyDescent="0.25">
      <c r="A20" t="str">
        <f>'Clean data'!A20</f>
        <v>ORD019</v>
      </c>
      <c r="B20">
        <f>ABS('Clean data'!D20*'Clean data'!E20)</f>
        <v>170000</v>
      </c>
      <c r="C20">
        <f>ABS(('Clean data'!D20*'Clean data'!E20)*'Clean data'!F20)</f>
        <v>13600</v>
      </c>
      <c r="D20">
        <f>IF('Clean data'!K20="Return",ABS('Clean data'!D20*'Clean data'!E20),0)</f>
        <v>0</v>
      </c>
      <c r="E20">
        <f t="shared" si="0"/>
        <v>156400</v>
      </c>
      <c r="F20">
        <f>ABS('Clean data'!D20*('Clean data'!E20*0.7))</f>
        <v>118999.99999999999</v>
      </c>
      <c r="G20">
        <f t="shared" si="1"/>
        <v>37400.000000000015</v>
      </c>
      <c r="H20">
        <f>IF('Clean data'!K20="Paid",'Clean data'!H20*0.02,0)</f>
        <v>3138</v>
      </c>
      <c r="I20">
        <f>'Clean data'!G20</f>
        <v>500</v>
      </c>
      <c r="J20">
        <f t="shared" si="2"/>
        <v>34762.000000000015</v>
      </c>
    </row>
    <row r="21" spans="1:10" x14ac:dyDescent="0.25">
      <c r="A21" t="str">
        <f>'Clean data'!A21</f>
        <v>ORD020</v>
      </c>
      <c r="B21">
        <f>ABS('Clean data'!D21*'Clean data'!E21)</f>
        <v>150000</v>
      </c>
      <c r="C21">
        <f>ABS(('Clean data'!D21*'Clean data'!E21)*'Clean data'!F21)</f>
        <v>22500</v>
      </c>
      <c r="D21">
        <f>IF('Clean data'!K21="Return",ABS('Clean data'!D21*'Clean data'!E21),0)</f>
        <v>0</v>
      </c>
      <c r="E21">
        <f t="shared" si="0"/>
        <v>127500</v>
      </c>
      <c r="F21">
        <f>ABS('Clean data'!D21*('Clean data'!E21*0.7))</f>
        <v>105000</v>
      </c>
      <c r="G21">
        <f t="shared" si="1"/>
        <v>22500</v>
      </c>
      <c r="H21">
        <f>IF('Clean data'!K21="Paid",'Clean data'!H21*0.02,0)</f>
        <v>0</v>
      </c>
      <c r="I21">
        <f>'Clean data'!G21</f>
        <v>300</v>
      </c>
      <c r="J21">
        <f t="shared" si="2"/>
        <v>22800</v>
      </c>
    </row>
    <row r="22" spans="1:10" x14ac:dyDescent="0.25">
      <c r="A22" t="str">
        <f>'Clean data'!A22</f>
        <v>ORD021</v>
      </c>
      <c r="B22">
        <f>ABS('Clean data'!D22*'Clean data'!E22)</f>
        <v>84000</v>
      </c>
      <c r="C22">
        <f>ABS(('Clean data'!D22*'Clean data'!E22)*'Clean data'!F22)</f>
        <v>8400</v>
      </c>
      <c r="D22">
        <f>IF('Clean data'!K22="Return",ABS('Clean data'!D22*'Clean data'!E22),0)</f>
        <v>0</v>
      </c>
      <c r="E22">
        <f t="shared" si="0"/>
        <v>75600</v>
      </c>
      <c r="F22">
        <f>ABS('Clean data'!D22*('Clean data'!E22*0.7))</f>
        <v>58800</v>
      </c>
      <c r="G22">
        <f t="shared" si="1"/>
        <v>16800</v>
      </c>
      <c r="H22">
        <f>IF('Clean data'!K22="Paid",'Clean data'!H22*0.02,0)</f>
        <v>1512</v>
      </c>
      <c r="I22">
        <f>'Clean data'!G22</f>
        <v>0</v>
      </c>
      <c r="J22">
        <f t="shared" si="2"/>
        <v>15288</v>
      </c>
    </row>
    <row r="23" spans="1:10" x14ac:dyDescent="0.25">
      <c r="A23" t="str">
        <f>'Clean data'!A23</f>
        <v>ORD022</v>
      </c>
      <c r="B23">
        <f>ABS('Clean data'!D23*'Clean data'!E23)</f>
        <v>72000</v>
      </c>
      <c r="C23">
        <f>ABS(('Clean data'!D23*'Clean data'!E23)*'Clean data'!F23)</f>
        <v>3600</v>
      </c>
      <c r="D23">
        <f>IF('Clean data'!K23="Return",ABS('Clean data'!D23*'Clean data'!E23),0)</f>
        <v>0</v>
      </c>
      <c r="E23">
        <f t="shared" si="0"/>
        <v>68400</v>
      </c>
      <c r="F23">
        <f>ABS('Clean data'!D23*('Clean data'!E23*0.7))</f>
        <v>50400</v>
      </c>
      <c r="G23">
        <f t="shared" si="1"/>
        <v>18000</v>
      </c>
      <c r="H23">
        <f>IF('Clean data'!K23="Paid",'Clean data'!H23*0.02,0)</f>
        <v>1372</v>
      </c>
      <c r="I23">
        <f>'Clean data'!G23</f>
        <v>200</v>
      </c>
      <c r="J23">
        <f t="shared" si="2"/>
        <v>16828</v>
      </c>
    </row>
    <row r="24" spans="1:10" x14ac:dyDescent="0.25">
      <c r="A24" t="str">
        <f>'Clean data'!A24</f>
        <v>ORD023</v>
      </c>
      <c r="B24">
        <f>ABS('Clean data'!D24*'Clean data'!E24)</f>
        <v>45000</v>
      </c>
      <c r="C24">
        <f>ABS(('Clean data'!D24*'Clean data'!E24)*'Clean data'!F24)</f>
        <v>0</v>
      </c>
      <c r="D24">
        <f>IF('Clean data'!K24="Return",ABS('Clean data'!D24*'Clean data'!E24),0)</f>
        <v>0</v>
      </c>
      <c r="E24">
        <f t="shared" si="0"/>
        <v>45000</v>
      </c>
      <c r="F24">
        <f>ABS('Clean data'!D24*('Clean data'!E24*0.7))</f>
        <v>31499.999999999996</v>
      </c>
      <c r="G24">
        <f t="shared" si="1"/>
        <v>13500.000000000004</v>
      </c>
      <c r="H24">
        <f>IF('Clean data'!K24="Paid",'Clean data'!H24*0.02,0)</f>
        <v>908</v>
      </c>
      <c r="I24">
        <f>'Clean data'!G24</f>
        <v>400</v>
      </c>
      <c r="J24">
        <f t="shared" si="2"/>
        <v>12992.000000000004</v>
      </c>
    </row>
    <row r="25" spans="1:10" x14ac:dyDescent="0.25">
      <c r="A25" s="5" t="s">
        <v>129</v>
      </c>
      <c r="B25" s="5">
        <f>SUM(B2:B24)</f>
        <v>2395000</v>
      </c>
      <c r="C25" s="5">
        <f t="shared" ref="C25:I25" si="3">SUM(C2:C24)</f>
        <v>352600</v>
      </c>
      <c r="D25" s="5">
        <f t="shared" si="3"/>
        <v>28000</v>
      </c>
      <c r="E25" s="5">
        <f t="shared" si="3"/>
        <v>2014400</v>
      </c>
      <c r="F25" s="5">
        <f t="shared" si="3"/>
        <v>1676500</v>
      </c>
      <c r="G25" s="5">
        <f t="shared" si="3"/>
        <v>337900</v>
      </c>
      <c r="H25" s="5">
        <f t="shared" si="3"/>
        <v>35872</v>
      </c>
      <c r="I25" s="5">
        <f t="shared" si="3"/>
        <v>5050</v>
      </c>
      <c r="J25" s="5">
        <f>SUM(J2:J24)</f>
        <v>307078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Error log</vt:lpstr>
      <vt:lpstr>Clean data</vt:lpstr>
      <vt:lpstr>Sales Anylsis</vt:lpstr>
      <vt:lpstr>Profit anylsis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Khata Administrator</dc:creator>
  <cp:lastModifiedBy>Khata System</cp:lastModifiedBy>
  <dcterms:created xsi:type="dcterms:W3CDTF">2026-04-04T03:28:37Z</dcterms:created>
  <dcterms:modified xsi:type="dcterms:W3CDTF">2026-04-12T06:39:31Z</dcterms:modified>
</cp:coreProperties>
</file>